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Quan_Dashboard" sheetId="1" state="visible" r:id="rId1"/>
    <sheet xmlns:r="http://schemas.openxmlformats.org/officeDocument/2006/relationships" name="TR List" sheetId="2" state="visible" r:id="rId2"/>
    <sheet xmlns:r="http://schemas.openxmlformats.org/officeDocument/2006/relationships" name="TC List" sheetId="3" state="visible" r:id="rId3"/>
    <sheet xmlns:r="http://schemas.openxmlformats.org/officeDocument/2006/relationships" name="RT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9"/>
    </font>
    <font>
      <name val="Segoe UI"/>
      <b val="1"/>
      <color rgb="00274E13"/>
      <sz val="9"/>
    </font>
    <font>
      <name val="Segoe UI"/>
      <b val="1"/>
      <color rgb="00783F04"/>
      <sz val="9"/>
    </font>
    <font>
      <name val="Segoe UI"/>
      <b val="1"/>
      <sz val="9"/>
    </font>
    <font>
      <name val="Segoe UI"/>
      <b val="1"/>
      <color rgb="00FFFFFF"/>
      <sz val="13"/>
    </font>
    <font>
      <name val="Segoe UI"/>
      <b val="1"/>
      <color rgb="00333333"/>
      <sz val="10"/>
    </font>
    <font>
      <name val="Segoe UI"/>
      <b val="1"/>
      <color rgb="001F4E78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D3"/>
        <bgColor rgb="00D9EAD3"/>
      </patternFill>
    </fill>
    <fill>
      <patternFill patternType="solid">
        <fgColor rgb="00FCE5CD"/>
        <bgColor rgb="00FCE5CD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5" fillId="5" borderId="2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 ht="32" customHeight="1">
      <c r="A1" s="1" t="inlineStr">
        <is>
          <t>BẢNG ĐIỀU KHIỂN &amp; CHỈ SỐ KIỂM THỬ — NỀN TẢNG CROWDFUNDING TỬ TẾ FUND</t>
        </is>
      </c>
    </row>
    <row r="2" ht="20" customHeight="1">
      <c r="A2" s="2" t="inlineStr">
        <is>
          <t>Lớp &amp; Học phần:</t>
        </is>
      </c>
      <c r="B2" s="3" t="inlineStr">
        <is>
          <t>23CT113 — Kiểm thử và Đảm bảo Chất lượng Phần mềm</t>
        </is>
      </c>
      <c r="E2" s="2" t="inlineStr">
        <is>
          <t>Giảng viên hướng dẫn:</t>
        </is>
      </c>
      <c r="F2" s="3" t="inlineStr">
        <is>
          <t>ThS. Nguyễn Minh Phúc</t>
        </is>
      </c>
    </row>
    <row r="3" ht="20" customHeight="1">
      <c r="A3" s="2" t="inlineStr">
        <is>
          <t>Đề tài dự án:</t>
        </is>
      </c>
      <c r="B3" s="3" t="inlineStr">
        <is>
          <t>Nền tảng Crowdfunding gây quỹ cộng đồng (Tử Tế Fund)</t>
        </is>
      </c>
      <c r="E3" s="2" t="inlineStr">
        <is>
          <t>Thời gian thực hiện:</t>
        </is>
      </c>
      <c r="F3" s="3" t="inlineStr">
        <is>
          <t>12/10/2026 – 30/10/2026 (3 tuần)</t>
        </is>
      </c>
    </row>
    <row r="4" ht="20" customHeight="1">
      <c r="A4" s="2" t="inlineStr">
        <is>
          <t>Web Demo chính thức:</t>
        </is>
      </c>
      <c r="B4" s="3" t="inlineStr">
        <is>
          <t>https://test-gamma-azure-65.vercel.app</t>
        </is>
      </c>
      <c r="E4" s="2" t="inlineStr">
        <is>
          <t>Kho mã nguồn GitHub:</t>
        </is>
      </c>
      <c r="F4" s="3" t="inlineStr">
        <is>
          <t>https://github.com/Escanor292/test</t>
        </is>
      </c>
    </row>
    <row r="5" ht="20" customHeight="1">
      <c r="A5" s="2" t="inlineStr">
        <is>
          <t>Đội ngũ thực hiện:</t>
        </is>
      </c>
      <c r="B5" s="3" t="inlineStr">
        <is>
          <t>Nhóm 02 — Nguyễn Quách Phú Tài (123000609 - Trưởng nhóm), Trần Xuân Ân, Bùi Đặng Quốc Khánh, Nguyễn Trung Tiến, Nguyễn Khánh Du</t>
        </is>
      </c>
      <c r="E5" s="2" t="inlineStr">
        <is>
          <t>Môi trường test:</t>
        </is>
      </c>
      <c r="F5" s="3" t="inlineStr">
        <is>
          <t>Node.js 24 + Next.js 15.1 + Neon PostgreSQL + Chrome Headless</t>
        </is>
      </c>
    </row>
    <row r="7" ht="24" customHeight="1">
      <c r="A7" s="4" t="inlineStr">
        <is>
          <t>TỔNG HỢP CHỈ SỐ KIỂM THỬ THỰC TẾ (TÍNH TỪ WORKBOOK)</t>
        </is>
      </c>
    </row>
    <row r="8" ht="26" customHeight="1">
      <c r="A8" s="5" t="inlineStr">
        <is>
          <t>Tổng số TR</t>
        </is>
      </c>
      <c r="B8" s="5" t="inlineStr">
        <is>
          <t>Tổng số TC</t>
        </is>
      </c>
      <c r="C8" s="5" t="inlineStr">
        <is>
          <t>Đã chạy</t>
        </is>
      </c>
      <c r="D8" s="5" t="inlineStr">
        <is>
          <t>PASS</t>
        </is>
      </c>
      <c r="E8" s="5" t="inlineStr">
        <is>
          <t>FAIL</t>
        </is>
      </c>
      <c r="F8" s="5" t="inlineStr">
        <is>
          <t>BLOCKED</t>
        </is>
      </c>
      <c r="G8" s="5" t="inlineStr">
        <is>
          <t>Chưa chạy</t>
        </is>
      </c>
      <c r="H8" s="5" t="inlineStr">
        <is>
          <t>Tỷ lệ PASS / Đã chạy</t>
        </is>
      </c>
      <c r="I8" s="5" t="inlineStr">
        <is>
          <t>Độ bao phủ TR</t>
        </is>
      </c>
    </row>
    <row r="9" ht="26" customHeight="1">
      <c r="A9" s="6">
        <f>COUNTA('TR List'!$B$2:$B$43)</f>
        <v/>
      </c>
      <c r="B9" s="6">
        <f>COUNTA('TC List'!$B$2:$B$96)</f>
        <v/>
      </c>
      <c r="C9" s="6">
        <f>COUNTIF('TC List'!$J$2:$J$96, "PASS")+COUNTIF('TC List'!$J$2:$J$96, "FAIL")+COUNTIF('TC List'!$J$2:$J$96, "BLOCKED")</f>
        <v/>
      </c>
      <c r="D9" s="6">
        <f>COUNTIF('TC List'!$J$2:$J$96, "PASS")</f>
        <v/>
      </c>
      <c r="E9" s="6">
        <f>COUNTIF('TC List'!$J$2:$J$96, "FAIL")</f>
        <v/>
      </c>
      <c r="F9" s="6">
        <f>COUNTIF('TC List'!$J$2:$J$96, "BLOCKED")</f>
        <v/>
      </c>
      <c r="G9" s="6">
        <f>COUNTBLANK('TC List'!$J$2:$J$96)</f>
        <v/>
      </c>
      <c r="H9" s="7">
        <f>D9/C9</f>
        <v/>
      </c>
      <c r="I9" s="7">
        <f>COUNTIF('RTM'!$H$2:$H$43, "&gt;0")/COUNTA('TR List'!$B$2:$B$43)</f>
        <v/>
      </c>
    </row>
    <row r="11" ht="24" customHeight="1">
      <c r="A11" s="4" t="inlineStr">
        <is>
          <t>TIẾN ĐỘ VÀ KẾT QUẢ KIỂM THỬ THEO PHÂN HỆ</t>
        </is>
      </c>
    </row>
    <row r="12" ht="24" customHeight="1">
      <c r="A12" s="5" t="inlineStr">
        <is>
          <t>STT</t>
        </is>
      </c>
      <c r="B12" s="5" t="inlineStr">
        <is>
          <t>Mã Phân hệ</t>
        </is>
      </c>
      <c r="C12" s="5" t="inlineStr">
        <is>
          <t>Tên Phân hệ Nghiệp vụ</t>
        </is>
      </c>
      <c r="D12" s="5" t="inlineStr">
        <is>
          <t>Tổng TR</t>
        </is>
      </c>
      <c r="E12" s="5" t="inlineStr">
        <is>
          <t>Tổng TC</t>
        </is>
      </c>
      <c r="F12" s="5" t="inlineStr">
        <is>
          <t>Đã chạy</t>
        </is>
      </c>
      <c r="G12" s="5" t="inlineStr">
        <is>
          <t>PASS</t>
        </is>
      </c>
      <c r="H12" s="5" t="inlineStr">
        <is>
          <t>Chưa chạy</t>
        </is>
      </c>
      <c r="I12" s="5" t="inlineStr">
        <is>
          <t>Tỷ lệ PASS</t>
        </is>
      </c>
    </row>
    <row r="13" ht="20" customHeight="1">
      <c r="A13" s="8" t="n">
        <v>1</v>
      </c>
      <c r="B13" s="8" t="inlineStr">
        <is>
          <t>AUTH</t>
        </is>
      </c>
      <c r="C13" s="9" t="inlineStr">
        <is>
          <t>Xác thực &amp; Phân quyền người dùng (NextAuth, RBAC)</t>
        </is>
      </c>
      <c r="D13" s="8">
        <f>COUNTIF('TR List'!$C$2:$C$43, "AUTH")</f>
        <v/>
      </c>
      <c r="E13" s="8">
        <f>COUNTIF('TC List'!$C$2:$C$96, "AUTH")</f>
        <v/>
      </c>
      <c r="F13" s="8">
        <f>COUNTIFS('TC List'!$C$2:$C$96, "AUTH", 'TC List'!$J$2:$J$96, "PASS")+COUNTIFS('TC List'!$C$2:$C$96, "AUTH", 'TC List'!$J$2:$J$96, "FAIL")+COUNTIFS('TC List'!$C$2:$C$96, "AUTH", 'TC List'!$J$2:$J$96, "BLOCKED")</f>
        <v/>
      </c>
      <c r="G13" s="8">
        <f>COUNTIFS('TC List'!$C$2:$C$96, "AUTH", 'TC List'!$J$2:$J$96, "PASS")</f>
        <v/>
      </c>
      <c r="H13" s="8">
        <f>E13-F13</f>
        <v/>
      </c>
      <c r="I13" s="10">
        <f>IF(F13&gt;0, G13/F13, 0)</f>
        <v/>
      </c>
    </row>
    <row r="14" ht="20" customHeight="1">
      <c r="A14" s="8" t="n">
        <v>2</v>
      </c>
      <c r="B14" s="8" t="inlineStr">
        <is>
          <t>KYC</t>
        </is>
      </c>
      <c r="C14" s="9" t="inlineStr">
        <is>
          <t>Định danh và nâng cấp Creator cá nhân / doanh nghiệp</t>
        </is>
      </c>
      <c r="D14" s="8">
        <f>COUNTIF('TR List'!$C$2:$C$43, "KYC")</f>
        <v/>
      </c>
      <c r="E14" s="8">
        <f>COUNTIF('TC List'!$C$2:$C$96, "KYC")</f>
        <v/>
      </c>
      <c r="F14" s="8">
        <f>COUNTIFS('TC List'!$C$2:$C$96, "KYC", 'TC List'!$J$2:$J$96, "PASS")+COUNTIFS('TC List'!$C$2:$C$96, "KYC", 'TC List'!$J$2:$J$96, "FAIL")+COUNTIFS('TC List'!$C$2:$C$96, "KYC", 'TC List'!$J$2:$J$96, "BLOCKED")</f>
        <v/>
      </c>
      <c r="G14" s="8">
        <f>COUNTIFS('TC List'!$C$2:$C$96, "KYC", 'TC List'!$J$2:$J$96, "PASS")</f>
        <v/>
      </c>
      <c r="H14" s="8">
        <f>E14-F14</f>
        <v/>
      </c>
      <c r="I14" s="10">
        <f>IF(F14&gt;0, G14/F14, 0)</f>
        <v/>
      </c>
    </row>
    <row r="15" ht="20" customHeight="1">
      <c r="A15" s="8" t="n">
        <v>3</v>
      </c>
      <c r="B15" s="8" t="inlineStr">
        <is>
          <t>CAMP</t>
        </is>
      </c>
      <c r="C15" s="9" t="inlineStr">
        <is>
          <t>Quản lý chiến dịch gây quỹ và vòng đời xuất bản</t>
        </is>
      </c>
      <c r="D15" s="8">
        <f>COUNTIF('TR List'!$C$2:$C$43, "CAMP")</f>
        <v/>
      </c>
      <c r="E15" s="8">
        <f>COUNTIF('TC List'!$C$2:$C$96, "CAMP")</f>
        <v/>
      </c>
      <c r="F15" s="8">
        <f>COUNTIFS('TC List'!$C$2:$C$96, "CAMP", 'TC List'!$J$2:$J$96, "PASS")+COUNTIFS('TC List'!$C$2:$C$96, "CAMP", 'TC List'!$J$2:$J$96, "FAIL")+COUNTIFS('TC List'!$C$2:$C$96, "CAMP", 'TC List'!$J$2:$J$96, "BLOCKED")</f>
        <v/>
      </c>
      <c r="G15" s="8">
        <f>COUNTIFS('TC List'!$C$2:$C$96, "CAMP", 'TC List'!$J$2:$J$96, "PASS")</f>
        <v/>
      </c>
      <c r="H15" s="8">
        <f>E15-F15</f>
        <v/>
      </c>
      <c r="I15" s="10">
        <f>IF(F15&gt;0, G15/F15, 0)</f>
        <v/>
      </c>
    </row>
    <row r="16" ht="20" customHeight="1">
      <c r="A16" s="8" t="n">
        <v>4</v>
      </c>
      <c r="B16" s="8" t="inlineStr">
        <is>
          <t>REWARD</t>
        </is>
      </c>
      <c r="C16" s="9" t="inlineStr">
        <is>
          <t>Quản lý phần thưởng, giới hạn và gói tài sản số</t>
        </is>
      </c>
      <c r="D16" s="8">
        <f>COUNTIF('TR List'!$C$2:$C$43, "REWARD")</f>
        <v/>
      </c>
      <c r="E16" s="8">
        <f>COUNTIF('TC List'!$C$2:$C$96, "REWARD")</f>
        <v/>
      </c>
      <c r="F16" s="8">
        <f>COUNTIFS('TC List'!$C$2:$C$96, "REWARD", 'TC List'!$J$2:$J$96, "PASS")+COUNTIFS('TC List'!$C$2:$C$96, "REWARD", 'TC List'!$J$2:$J$96, "FAIL")+COUNTIFS('TC List'!$C$2:$C$96, "REWARD", 'TC List'!$J$2:$J$96, "BLOCKED")</f>
        <v/>
      </c>
      <c r="G16" s="8">
        <f>COUNTIFS('TC List'!$C$2:$C$96, "REWARD", 'TC List'!$J$2:$J$96, "PASS")</f>
        <v/>
      </c>
      <c r="H16" s="8">
        <f>E16-F16</f>
        <v/>
      </c>
      <c r="I16" s="10">
        <f>IF(F16&gt;0, G16/F16, 0)</f>
        <v/>
      </c>
    </row>
    <row r="17" ht="20" customHeight="1">
      <c r="A17" s="8" t="n">
        <v>5</v>
      </c>
      <c r="B17" s="8" t="inlineStr">
        <is>
          <t>PLEDGE</t>
        </is>
      </c>
      <c r="C17" s="9" t="inlineStr">
        <is>
          <t>Ủng hộ chuyển khoản ngân hàng VietQR &amp; đối soát</t>
        </is>
      </c>
      <c r="D17" s="8">
        <f>COUNTIF('TR List'!$C$2:$C$43, "PLEDGE")</f>
        <v/>
      </c>
      <c r="E17" s="8">
        <f>COUNTIF('TC List'!$C$2:$C$96, "PLEDGE")</f>
        <v/>
      </c>
      <c r="F17" s="8">
        <f>COUNTIFS('TC List'!$C$2:$C$96, "PLEDGE", 'TC List'!$J$2:$J$96, "PASS")+COUNTIFS('TC List'!$C$2:$C$96, "PLEDGE", 'TC List'!$J$2:$J$96, "FAIL")+COUNTIFS('TC List'!$C$2:$C$96, "PLEDGE", 'TC List'!$J$2:$J$96, "BLOCKED")</f>
        <v/>
      </c>
      <c r="G17" s="8">
        <f>COUNTIFS('TC List'!$C$2:$C$96, "PLEDGE", 'TC List'!$J$2:$J$96, "PASS")</f>
        <v/>
      </c>
      <c r="H17" s="8">
        <f>E17-F17</f>
        <v/>
      </c>
      <c r="I17" s="10">
        <f>IF(F17&gt;0, G17/F17, 0)</f>
        <v/>
      </c>
    </row>
    <row r="18" ht="20" customHeight="1">
      <c r="A18" s="8" t="n">
        <v>6</v>
      </c>
      <c r="B18" s="8" t="inlineStr">
        <is>
          <t>CERT</t>
        </is>
      </c>
      <c r="C18" s="9" t="inlineStr">
        <is>
          <t>Minh bạch hóa đơn, chứng từ đóng góp &amp; sổ cái</t>
        </is>
      </c>
      <c r="D18" s="8">
        <f>COUNTIF('TR List'!$C$2:$C$43, "CERT")</f>
        <v/>
      </c>
      <c r="E18" s="8">
        <f>COUNTIF('TC List'!$C$2:$C$96, "CERT")</f>
        <v/>
      </c>
      <c r="F18" s="8">
        <f>COUNTIFS('TC List'!$C$2:$C$96, "CERT", 'TC List'!$J$2:$J$96, "PASS")+COUNTIFS('TC List'!$C$2:$C$96, "CERT", 'TC List'!$J$2:$J$96, "FAIL")+COUNTIFS('TC List'!$C$2:$C$96, "CERT", 'TC List'!$J$2:$J$96, "BLOCKED")</f>
        <v/>
      </c>
      <c r="G18" s="8">
        <f>COUNTIFS('TC List'!$C$2:$C$96, "CERT", 'TC List'!$J$2:$J$96, "PASS")</f>
        <v/>
      </c>
      <c r="H18" s="8">
        <f>E18-F18</f>
        <v/>
      </c>
      <c r="I18" s="10">
        <f>IF(F18&gt;0, G18/F18, 0)</f>
        <v/>
      </c>
    </row>
    <row r="19" ht="20" customHeight="1">
      <c r="A19" s="8" t="n">
        <v>7</v>
      </c>
      <c r="B19" s="8" t="inlineStr">
        <is>
          <t>COMM</t>
        </is>
      </c>
      <c r="C19" s="9" t="inlineStr">
        <is>
          <t>Tương tác cộng đồng, đánh giá và phản hồi góp ý</t>
        </is>
      </c>
      <c r="D19" s="8">
        <f>COUNTIF('TR List'!$C$2:$C$43, "COMM")</f>
        <v/>
      </c>
      <c r="E19" s="8">
        <f>COUNTIF('TC List'!$C$2:$C$96, "COMM")</f>
        <v/>
      </c>
      <c r="F19" s="8">
        <f>COUNTIFS('TC List'!$C$2:$C$96, "COMM", 'TC List'!$J$2:$J$96, "PASS")+COUNTIFS('TC List'!$C$2:$C$96, "COMM", 'TC List'!$J$2:$J$96, "FAIL")+COUNTIFS('TC List'!$C$2:$C$96, "COMM", 'TC List'!$J$2:$J$96, "BLOCKED")</f>
        <v/>
      </c>
      <c r="G19" s="8">
        <f>COUNTIFS('TC List'!$C$2:$C$96, "COMM", 'TC List'!$J$2:$J$96, "PASS")</f>
        <v/>
      </c>
      <c r="H19" s="8">
        <f>E19-F19</f>
        <v/>
      </c>
      <c r="I19" s="10">
        <f>IF(F19&gt;0, G19/F19, 0)</f>
        <v/>
      </c>
    </row>
    <row r="20" ht="20" customHeight="1">
      <c r="A20" s="8" t="n">
        <v>8</v>
      </c>
      <c r="B20" s="8" t="inlineStr">
        <is>
          <t>BLOG</t>
        </is>
      </c>
      <c r="C20" s="9" t="inlineStr">
        <is>
          <t>Nhật ký dự án, soạn thảo và kiểm duyệt tin tức</t>
        </is>
      </c>
      <c r="D20" s="8">
        <f>COUNTIF('TR List'!$C$2:$C$43, "BLOG")</f>
        <v/>
      </c>
      <c r="E20" s="8">
        <f>COUNTIF('TC List'!$C$2:$C$96, "BLOG")</f>
        <v/>
      </c>
      <c r="F20" s="8">
        <f>COUNTIFS('TC List'!$C$2:$C$96, "BLOG", 'TC List'!$J$2:$J$96, "PASS")+COUNTIFS('TC List'!$C$2:$C$96, "BLOG", 'TC List'!$J$2:$J$96, "FAIL")+COUNTIFS('TC List'!$C$2:$C$96, "BLOG", 'TC List'!$J$2:$J$96, "BLOCKED")</f>
        <v/>
      </c>
      <c r="G20" s="8">
        <f>COUNTIFS('TC List'!$C$2:$C$96, "BLOG", 'TC List'!$J$2:$J$96, "PASS")</f>
        <v/>
      </c>
      <c r="H20" s="8">
        <f>E20-F20</f>
        <v/>
      </c>
      <c r="I20" s="10">
        <f>IF(F20&gt;0, G20/F20, 0)</f>
        <v/>
      </c>
    </row>
    <row r="21" ht="20" customHeight="1">
      <c r="A21" s="8" t="n">
        <v>9</v>
      </c>
      <c r="B21" s="8" t="inlineStr">
        <is>
          <t>CHAT</t>
        </is>
      </c>
      <c r="C21" s="9" t="inlineStr">
        <is>
          <t>Hội thoại tin nhắn và cuộc gọi P2P WebRTC</t>
        </is>
      </c>
      <c r="D21" s="8">
        <f>COUNTIF('TR List'!$C$2:$C$43, "CHAT")</f>
        <v/>
      </c>
      <c r="E21" s="8">
        <f>COUNTIF('TC List'!$C$2:$C$96, "CHAT")</f>
        <v/>
      </c>
      <c r="F21" s="8">
        <f>COUNTIFS('TC List'!$C$2:$C$96, "CHAT", 'TC List'!$J$2:$J$96, "PASS")+COUNTIFS('TC List'!$C$2:$C$96, "CHAT", 'TC List'!$J$2:$J$96, "FAIL")+COUNTIFS('TC List'!$C$2:$C$96, "CHAT", 'TC List'!$J$2:$J$96, "BLOCKED")</f>
        <v/>
      </c>
      <c r="G21" s="8">
        <f>COUNTIFS('TC List'!$C$2:$C$96, "CHAT", 'TC List'!$J$2:$J$96, "PASS")</f>
        <v/>
      </c>
      <c r="H21" s="8">
        <f>E21-F21</f>
        <v/>
      </c>
      <c r="I21" s="10">
        <f>IF(F21&gt;0, G21/F21, 0)</f>
        <v/>
      </c>
    </row>
    <row r="22" ht="20" customHeight="1">
      <c r="A22" s="8" t="n">
        <v>10</v>
      </c>
      <c r="B22" s="8" t="inlineStr">
        <is>
          <t>ADMIN</t>
        </is>
      </c>
      <c r="C22" s="9" t="inlineStr">
        <is>
          <t>Bảng quản trị hệ thống, người dùng và từ cấm</t>
        </is>
      </c>
      <c r="D22" s="8">
        <f>COUNTIF('TR List'!$C$2:$C$43, "ADMIN")</f>
        <v/>
      </c>
      <c r="E22" s="8">
        <f>COUNTIF('TC List'!$C$2:$C$96, "ADMIN")</f>
        <v/>
      </c>
      <c r="F22" s="8">
        <f>COUNTIFS('TC List'!$C$2:$C$96, "ADMIN", 'TC List'!$J$2:$J$96, "PASS")+COUNTIFS('TC List'!$C$2:$C$96, "ADMIN", 'TC List'!$J$2:$J$96, "FAIL")+COUNTIFS('TC List'!$C$2:$C$96, "ADMIN", 'TC List'!$J$2:$J$96, "BLOCKED")</f>
        <v/>
      </c>
      <c r="G22" s="8">
        <f>COUNTIFS('TC List'!$C$2:$C$96, "ADMIN", 'TC List'!$J$2:$J$96, "PASS")</f>
        <v/>
      </c>
      <c r="H22" s="8">
        <f>E22-F22</f>
        <v/>
      </c>
      <c r="I22" s="10">
        <f>IF(F22&gt;0, G22/F22, 0)</f>
        <v/>
      </c>
    </row>
    <row r="23">
      <c r="A23" s="11" t="inlineStr">
        <is>
          <t>TỔNG</t>
        </is>
      </c>
      <c r="B23" s="12" t="n"/>
      <c r="C23" s="12" t="n"/>
      <c r="D23" s="11">
        <f>SUM(D13:D22)</f>
        <v/>
      </c>
      <c r="E23" s="11">
        <f>SUM(E13:E22)</f>
        <v/>
      </c>
      <c r="F23" s="11">
        <f>SUM(F13:F22)</f>
        <v/>
      </c>
      <c r="G23" s="11">
        <f>SUM(G13:G22)</f>
        <v/>
      </c>
      <c r="H23" s="11">
        <f>SUM(H13:H22)</f>
        <v/>
      </c>
      <c r="I23" s="13">
        <f>G23/F23</f>
        <v/>
      </c>
    </row>
    <row r="25" ht="22" customHeight="1">
      <c r="A25" s="4" t="inlineStr">
        <is>
          <t>PHÂN BỔ TEST CASE THEO MỨC ĐỘ ƯU TIÊN</t>
        </is>
      </c>
    </row>
    <row r="26">
      <c r="A26" s="5" t="inlineStr">
        <is>
          <t>Mức độ ưu tiên</t>
        </is>
      </c>
      <c r="B26" s="5" t="inlineStr">
        <is>
          <t>Số lượng TC</t>
        </is>
      </c>
      <c r="C26" s="5" t="inlineStr">
        <is>
          <t>Tỷ lệ %</t>
        </is>
      </c>
      <c r="D26" s="5" t="inlineStr">
        <is>
          <t>Đã thực thi</t>
        </is>
      </c>
      <c r="E26" s="5" t="inlineStr">
        <is>
          <t>Tỷ lệ Pass</t>
        </is>
      </c>
    </row>
    <row r="27">
      <c r="A27" s="8" t="inlineStr">
        <is>
          <t>High</t>
        </is>
      </c>
      <c r="B27" s="8">
        <f>COUNTIF('TC List'!$E$2:$E$96, "High")</f>
        <v/>
      </c>
      <c r="C27" s="10">
        <f>B27/B9</f>
        <v/>
      </c>
      <c r="D27" s="8">
        <f>COUNTIFS('TC List'!$E$2:$E$96, "High", 'TC List'!$J$2:$J$96, "PASS")+COUNTIFS('TC List'!$E$2:$E$96, "High", 'TC List'!$J$2:$J$96, "FAIL")</f>
        <v/>
      </c>
      <c r="E27" s="10">
        <f>IF(D27&gt;0, COUNTIFS('TC List'!$E$2:$E$96, "High", 'TC List'!$J$2:$J$96, "PASS")/D27, 0)</f>
        <v/>
      </c>
    </row>
    <row r="28">
      <c r="A28" s="8" t="inlineStr">
        <is>
          <t>Medium</t>
        </is>
      </c>
      <c r="B28" s="8">
        <f>COUNTIF('TC List'!$E$2:$E$96, "Medium")</f>
        <v/>
      </c>
      <c r="C28" s="10">
        <f>B28/B9</f>
        <v/>
      </c>
      <c r="D28" s="8">
        <f>COUNTIFS('TC List'!$E$2:$E$96, "Medium", 'TC List'!$J$2:$J$96, "PASS")+COUNTIFS('TC List'!$E$2:$E$96, "Medium", 'TC List'!$J$2:$J$96, "FAIL")</f>
        <v/>
      </c>
      <c r="E28" s="10">
        <f>IF(D28&gt;0, COUNTIFS('TC List'!$E$2:$E$96, "Medium", 'TC List'!$J$2:$J$96, "PASS")/D28, 0)</f>
        <v/>
      </c>
    </row>
    <row r="29">
      <c r="A29" s="8" t="inlineStr">
        <is>
          <t>Low</t>
        </is>
      </c>
      <c r="B29" s="8">
        <f>COUNTIF('TC List'!$E$2:$E$96, "Low")</f>
        <v/>
      </c>
      <c r="C29" s="10">
        <f>B29/B9</f>
        <v/>
      </c>
      <c r="D29" s="8">
        <f>COUNTIFS('TC List'!$E$2:$E$96, "Low", 'TC List'!$J$2:$J$96, "PASS")+COUNTIFS('TC List'!$E$2:$E$96, "Low", 'TC List'!$J$2:$J$96, "FAIL")</f>
        <v/>
      </c>
      <c r="E29" s="10">
        <f>IF(D29&gt;0, COUNTIFS('TC List'!$E$2:$E$96, "Low", 'TC List'!$J$2:$J$96, "PASS")/D29, 0)</f>
        <v/>
      </c>
    </row>
  </sheetData>
  <mergeCells count="13">
    <mergeCell ref="A7:I7"/>
    <mergeCell ref="B3:D3"/>
    <mergeCell ref="B5:D5"/>
    <mergeCell ref="A11:I11"/>
    <mergeCell ref="A23:C23"/>
    <mergeCell ref="F3:I3"/>
    <mergeCell ref="F4:I4"/>
    <mergeCell ref="F2:I2"/>
    <mergeCell ref="B4:D4"/>
    <mergeCell ref="A25:E25"/>
    <mergeCell ref="A1:I1"/>
    <mergeCell ref="F5:I5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38" customWidth="1" min="4" max="4"/>
    <col width="16" customWidth="1" min="5" max="5"/>
    <col width="35" customWidth="1" min="6" max="6"/>
    <col width="50" customWidth="1" min="7" max="7"/>
  </cols>
  <sheetData>
    <row r="1" ht="28" customHeight="1">
      <c r="A1" s="5" t="inlineStr">
        <is>
          <t>STT</t>
        </is>
      </c>
      <c r="B1" s="5" t="inlineStr">
        <is>
          <t>TR ID</t>
        </is>
      </c>
      <c r="C1" s="5" t="inlineStr">
        <is>
          <t>Phân hệ</t>
        </is>
      </c>
      <c r="D1" s="5" t="inlineStr">
        <is>
          <t>Tên Yêu cầu Kiểm thử</t>
        </is>
      </c>
      <c r="E1" s="5" t="inlineStr">
        <is>
          <t>Kỹ thuật áp dụng</t>
        </is>
      </c>
      <c r="F1" s="5" t="inlineStr">
        <is>
          <t>Điểm vào (route/API)</t>
        </is>
      </c>
      <c r="G1" s="5" t="inlineStr">
        <is>
          <t>Mục tiêu kiểm thử &amp; đặc tả nghiệp vụ</t>
        </is>
      </c>
    </row>
    <row r="2" ht="24" customHeight="1">
      <c r="A2" s="8" t="n">
        <v>1</v>
      </c>
      <c r="B2" s="8" t="inlineStr">
        <is>
          <t>TR-001</t>
        </is>
      </c>
      <c r="C2" s="8" t="inlineStr">
        <is>
          <t>AUTH</t>
        </is>
      </c>
      <c r="D2" s="9" t="inlineStr">
        <is>
          <t>Đăng nhập bằng email và mật khẩu qua NextAuth Credentials</t>
        </is>
      </c>
      <c r="E2" s="8" t="inlineStr">
        <is>
          <t>Functional</t>
        </is>
      </c>
      <c r="F2" s="9" t="inlineStr">
        <is>
          <t>/auth/login, POST /api/auth/callback/credentials</t>
        </is>
      </c>
      <c r="G2" s="9" t="inlineStr">
        <is>
          <t>Xác thực credentials người dùng, tạo JWT session và chuyển hướng điều hướng theo vai trò (ADMIN, CREATOR, BACKER)</t>
        </is>
      </c>
    </row>
    <row r="3" ht="24" customHeight="1">
      <c r="A3" s="8" t="n">
        <v>2</v>
      </c>
      <c r="B3" s="8" t="inlineStr">
        <is>
          <t>TR-002</t>
        </is>
      </c>
      <c r="C3" s="8" t="inlineStr">
        <is>
          <t>AUTH</t>
        </is>
      </c>
      <c r="D3" s="9" t="inlineStr">
        <is>
          <t>Đăng nhập liên kết tài khoản Google OAuth</t>
        </is>
      </c>
      <c r="E3" s="8" t="inlineStr">
        <is>
          <t>Functional</t>
        </is>
      </c>
      <c r="F3" s="9" t="inlineStr">
        <is>
          <t>/auth/login, /api/auth/providers</t>
        </is>
      </c>
      <c r="G3" s="9" t="inlineStr">
        <is>
          <t>Xác minh luồng đăng nhập Single Sign-On (SSO) Google, tự động liên kết tài khoản theo email</t>
        </is>
      </c>
    </row>
    <row r="4" ht="24" customHeight="1">
      <c r="A4" s="8" t="n">
        <v>3</v>
      </c>
      <c r="B4" s="8" t="inlineStr">
        <is>
          <t>TR-003</t>
        </is>
      </c>
      <c r="C4" s="8" t="inlineStr">
        <is>
          <t>AUTH</t>
        </is>
      </c>
      <c r="D4" s="9" t="inlineStr">
        <is>
          <t>Đăng ký tài khoản người dùng mới và phân quyền mặc định</t>
        </is>
      </c>
      <c r="E4" s="8" t="inlineStr">
        <is>
          <t>Boundary</t>
        </is>
      </c>
      <c r="F4" s="9" t="inlineStr">
        <is>
          <t>/auth/register, POST /api/auth/register</t>
        </is>
      </c>
      <c r="G4" s="9" t="inlineStr">
        <is>
          <t>Xác minh quy tắc mật khẩu tối thiểu 6 ký tự, bắt buộc đồng ý điều khoản, kiểm tra trùng email và blacklist</t>
        </is>
      </c>
    </row>
    <row r="5" ht="24" customHeight="1">
      <c r="A5" s="8" t="n">
        <v>4</v>
      </c>
      <c r="B5" s="8" t="inlineStr">
        <is>
          <t>TR-004</t>
        </is>
      </c>
      <c r="C5" s="8" t="inlineStr">
        <is>
          <t>AUTH</t>
        </is>
      </c>
      <c r="D5" s="9" t="inlineStr">
        <is>
          <t>Quên mật khẩu và tạo token khôi phục tài khoản</t>
        </is>
      </c>
      <c r="E5" s="8" t="inlineStr">
        <is>
          <t>Functional</t>
        </is>
      </c>
      <c r="F5" s="9" t="inlineStr">
        <is>
          <t>/auth/forgot-password, POST /api/auth/forgot-password</t>
        </is>
      </c>
      <c r="G5" s="9" t="inlineStr">
        <is>
          <t>Xác minh tạo mã token ngẫu nhiên sha256 có thời hạn 30 phút (PASSWORD_RESET_TTL_MS) và gửi email qua Resend</t>
        </is>
      </c>
    </row>
    <row r="6" ht="24" customHeight="1">
      <c r="A6" s="8" t="n">
        <v>5</v>
      </c>
      <c r="B6" s="8" t="inlineStr">
        <is>
          <t>TR-005</t>
        </is>
      </c>
      <c r="C6" s="8" t="inlineStr">
        <is>
          <t>AUTH</t>
        </is>
      </c>
      <c r="D6" s="9" t="inlineStr">
        <is>
          <t>Đặt lại mật khẩu với token xác thực</t>
        </is>
      </c>
      <c r="E6" s="8" t="inlineStr">
        <is>
          <t>Negative</t>
        </is>
      </c>
      <c r="F6" s="9" t="inlineStr">
        <is>
          <t>/auth/reset-password, POST /api/auth/reset-password</t>
        </is>
      </c>
      <c r="G6" s="9" t="inlineStr">
        <is>
          <t>Xác minh đặt mật khẩu mới với token trong DB, từ chối token giả mạo hoặc hết hạn</t>
        </is>
      </c>
    </row>
    <row r="7" ht="24" customHeight="1">
      <c r="A7" s="8" t="n">
        <v>6</v>
      </c>
      <c r="B7" s="8" t="inlineStr">
        <is>
          <t>TR-006</t>
        </is>
      </c>
      <c r="C7" s="8" t="inlineStr">
        <is>
          <t>KYC</t>
        </is>
      </c>
      <c r="D7" s="9" t="inlineStr">
        <is>
          <t>Nộp hồ sơ định danh và nâng cấp Creator cá nhân</t>
        </is>
      </c>
      <c r="E7" s="8" t="inlineStr">
        <is>
          <t>Boundary</t>
        </is>
      </c>
      <c r="F7" s="9" t="inlineStr">
        <is>
          <t>/kyc, POST /api/user/upgrade-creator</t>
        </is>
      </c>
      <c r="G7" s="9" t="inlineStr">
        <is>
          <t>Xác minh tải ảnh CCCD 2 mặt, thông tin cá nhân, chuyển vai trò sang CREATOR_PENDING chờ duyệt</t>
        </is>
      </c>
    </row>
    <row r="8" ht="24" customHeight="1">
      <c r="A8" s="8" t="n">
        <v>7</v>
      </c>
      <c r="B8" s="8" t="inlineStr">
        <is>
          <t>TR-007</t>
        </is>
      </c>
      <c r="C8" s="8" t="inlineStr">
        <is>
          <t>KYC</t>
        </is>
      </c>
      <c r="D8" s="9" t="inlineStr">
        <is>
          <t>Nộp hồ sơ định danh Creator tổ chức / doanh nghiệp</t>
        </is>
      </c>
      <c r="E8" s="8" t="inlineStr">
        <is>
          <t>Negative</t>
        </is>
      </c>
      <c r="F8" s="9" t="inlineStr">
        <is>
          <t>/kyc/to-chuc, POST /api/user/upgrade-creator</t>
        </is>
      </c>
      <c r="G8" s="9" t="inlineStr">
        <is>
          <t>Xác minh yêu cầu bắt buộc Mã số thuế (MST) và giấy phép ĐKKD đối với tài khoản tổ chức</t>
        </is>
      </c>
    </row>
    <row r="9" ht="24" customHeight="1">
      <c r="A9" s="8" t="n">
        <v>8</v>
      </c>
      <c r="B9" s="8" t="inlineStr">
        <is>
          <t>TR-008</t>
        </is>
      </c>
      <c r="C9" s="8" t="inlineStr">
        <is>
          <t>KYC</t>
        </is>
      </c>
      <c r="D9" s="9" t="inlineStr">
        <is>
          <t>Truy vấn trạng thái hồ sơ KYC của người dùng</t>
        </is>
      </c>
      <c r="E9" s="8" t="inlineStr">
        <is>
          <t>Functional</t>
        </is>
      </c>
      <c r="F9" s="9" t="inlineStr">
        <is>
          <t>/api/kyc/status</t>
        </is>
      </c>
      <c r="G9" s="9" t="inlineStr">
        <is>
          <t>Xác minh phản hồi trạng thái KYC (PENDING, VERIFIED, REJECTED, EXPIRED) của người dùng hiện tại</t>
        </is>
      </c>
    </row>
    <row r="10" ht="24" customHeight="1">
      <c r="A10" s="8" t="n">
        <v>9</v>
      </c>
      <c r="B10" s="8" t="inlineStr">
        <is>
          <t>TR-009</t>
        </is>
      </c>
      <c r="C10" s="8" t="inlineStr">
        <is>
          <t>KYC</t>
        </is>
      </c>
      <c r="D10" s="9" t="inlineStr">
        <is>
          <t>Admin phê duyệt hoặc từ chối hồ sơ định danh KYC</t>
        </is>
      </c>
      <c r="E10" s="8" t="inlineStr">
        <is>
          <t>Functional</t>
        </is>
      </c>
      <c r="F10" s="9" t="inlineStr">
        <is>
          <t>/dashboard/admin/kyc, POST /api/admin/kyc/[id]/review</t>
        </is>
      </c>
      <c r="G10" s="9" t="inlineStr">
        <is>
          <t>Xác minh quyền quản trị viên duyệt KYC nâng role người dùng thành CREATOR, từ chối trả về lý do</t>
        </is>
      </c>
    </row>
    <row r="11" ht="24" customHeight="1">
      <c r="A11" s="8" t="n">
        <v>10</v>
      </c>
      <c r="B11" s="8" t="inlineStr">
        <is>
          <t>TR-010</t>
        </is>
      </c>
      <c r="C11" s="8" t="inlineStr">
        <is>
          <t>CAMP</t>
        </is>
      </c>
      <c r="D11" s="9" t="inlineStr">
        <is>
          <t>Khởi tạo chiến dịch gây quỹ mới</t>
        </is>
      </c>
      <c r="E11" s="8" t="inlineStr">
        <is>
          <t>Boundary</t>
        </is>
      </c>
      <c r="F11" s="9" t="inlineStr">
        <is>
          <t>/campaigns/create, POST /api/campaigns</t>
        </is>
      </c>
      <c r="G11" s="9" t="inlineStr">
        <is>
          <t>Xác minh kiểm tra bản quyền Creator, tiêu đề bắt buộc, mục tiêu vốn &gt; 0, nội dung rich text và lọc từ cấm</t>
        </is>
      </c>
    </row>
    <row r="12" ht="24" customHeight="1">
      <c r="A12" s="8" t="n">
        <v>11</v>
      </c>
      <c r="B12" s="8" t="inlineStr">
        <is>
          <t>TR-011</t>
        </is>
      </c>
      <c r="C12" s="8" t="inlineStr">
        <is>
          <t>CAMP</t>
        </is>
      </c>
      <c r="D12" s="9" t="inlineStr">
        <is>
          <t>Xem danh sách và lọc tìm kiếm chiến dịch công khai</t>
        </is>
      </c>
      <c r="E12" s="8" t="inlineStr">
        <is>
          <t>LooknFeel</t>
        </is>
      </c>
      <c r="F12" s="9" t="inlineStr">
        <is>
          <t>/campaigns, GET /api/campaigns</t>
        </is>
      </c>
      <c r="G12" s="9" t="inlineStr">
        <is>
          <t>Xác minh hiển thị danh sách chiến dịch đang gây quỹ ACTIVE, phân trang và tìm kiếm theo danh mục/từ khóa</t>
        </is>
      </c>
    </row>
    <row r="13" ht="24" customHeight="1">
      <c r="A13" s="8" t="n">
        <v>12</v>
      </c>
      <c r="B13" s="8" t="inlineStr">
        <is>
          <t>TR-012</t>
        </is>
      </c>
      <c r="C13" s="8" t="inlineStr">
        <is>
          <t>CAMP</t>
        </is>
      </c>
      <c r="D13" s="9" t="inlineStr">
        <is>
          <t>Xem trang chi tiết nội dung chiến dịch gây quỹ</t>
        </is>
      </c>
      <c r="E13" s="8" t="inlineStr">
        <is>
          <t>Functional</t>
        </is>
      </c>
      <c r="F13" s="9" t="inlineStr">
        <is>
          <t>/campaigns/[slug], GET /api/campaigns/[slug]</t>
        </is>
      </c>
      <c r="G13" s="9" t="inlineStr">
        <is>
          <t>Xác minh tải nội dung chi tiết chiến dịch, tiến độ % gây quỹ, danh sách gói phần thưởng và thông tin chủ dự án</t>
        </is>
      </c>
    </row>
    <row r="14" ht="24" customHeight="1">
      <c r="A14" s="8" t="n">
        <v>13</v>
      </c>
      <c r="B14" s="8" t="inlineStr">
        <is>
          <t>TR-013</t>
        </is>
      </c>
      <c r="C14" s="8" t="inlineStr">
        <is>
          <t>CAMP</t>
        </is>
      </c>
      <c r="D14" s="9" t="inlineStr">
        <is>
          <t>Gửi duyệt và quản lý vòng đời trạng thái chiến dịch</t>
        </is>
      </c>
      <c r="E14" s="8" t="inlineStr">
        <is>
          <t>Functional</t>
        </is>
      </c>
      <c r="F14" s="9" t="inlineStr">
        <is>
          <t>POST /api/campaigns/[slug]/submit, /cancel</t>
        </is>
      </c>
      <c r="G14" s="9" t="inlineStr">
        <is>
          <t>Xác minh chuyển trạng thái chiến dịch DRAFT -&gt; PENDING_REVIEW và điều kiện hủy chiến dịch</t>
        </is>
      </c>
    </row>
    <row r="15" ht="24" customHeight="1">
      <c r="A15" s="8" t="n">
        <v>14</v>
      </c>
      <c r="B15" s="8" t="inlineStr">
        <is>
          <t>TR-014</t>
        </is>
      </c>
      <c r="C15" s="8" t="inlineStr">
        <is>
          <t>CAMP</t>
        </is>
      </c>
      <c r="D15" s="9" t="inlineStr">
        <is>
          <t>Admin phê duyệt và gắn cờ nổi bật cho chiến dịch</t>
        </is>
      </c>
      <c r="E15" s="8" t="inlineStr">
        <is>
          <t>Functional</t>
        </is>
      </c>
      <c r="F15" s="9" t="inlineStr">
        <is>
          <t>/dashboard/admin/campaigns, POST /api/admin/campaigns/[id]/review</t>
        </is>
      </c>
      <c r="G15" s="9" t="inlineStr">
        <is>
          <t>Xác minh quản trị viên duyệt chiến dịch xuất bản ACTIVE và bật cờ isFeatured trên trang chủ</t>
        </is>
      </c>
    </row>
    <row r="16" ht="24" customHeight="1">
      <c r="A16" s="8" t="n">
        <v>15</v>
      </c>
      <c r="B16" s="8" t="inlineStr">
        <is>
          <t>TR-015</t>
        </is>
      </c>
      <c r="C16" s="8" t="inlineStr">
        <is>
          <t>REWARD</t>
        </is>
      </c>
      <c r="D16" s="9" t="inlineStr">
        <is>
          <t>Khởi tạo gói phần thưởng tài trợ cho chiến dịch</t>
        </is>
      </c>
      <c r="E16" s="8" t="inlineStr">
        <is>
          <t>Boundary</t>
        </is>
      </c>
      <c r="F16" s="9" t="inlineStr">
        <is>
          <t>/dashboard/creator/rewards/[slug]/create, POST /api/rewards</t>
        </is>
      </c>
      <c r="G16" s="9" t="inlineStr">
        <is>
          <t>Xác minh ràng buộc số tiền tối thiểu &gt; 0, số lượng giới hạn và mô tả quà tặng của Creator</t>
        </is>
      </c>
    </row>
    <row r="17" ht="24" customHeight="1">
      <c r="A17" s="8" t="n">
        <v>16</v>
      </c>
      <c r="B17" s="8" t="inlineStr">
        <is>
          <t>TR-016</t>
        </is>
      </c>
      <c r="C17" s="8" t="inlineStr">
        <is>
          <t>REWARD</t>
        </is>
      </c>
      <c r="D17" s="9" t="inlineStr">
        <is>
          <t>Bật hoặc tắt trạng thái khả dụng của phần thưởng</t>
        </is>
      </c>
      <c r="E17" s="8" t="inlineStr">
        <is>
          <t>Functional</t>
        </is>
      </c>
      <c r="F17" s="9" t="inlineStr">
        <is>
          <t>POST /api/rewards/[id]/toggle</t>
        </is>
      </c>
      <c r="G17" s="9" t="inlineStr">
        <is>
          <t>Xác minh chủ chiến dịch kích hoạt hoặc tạm ẩn gói phần thưởng đã hết quà hoặc ngừng cung cấp</t>
        </is>
      </c>
    </row>
    <row r="18" ht="24" customHeight="1">
      <c r="A18" s="8" t="n">
        <v>17</v>
      </c>
      <c r="B18" s="8" t="inlineStr">
        <is>
          <t>TR-017</t>
        </is>
      </c>
      <c r="C18" s="8" t="inlineStr">
        <is>
          <t>REWARD</t>
        </is>
      </c>
      <c r="D18" s="9" t="inlineStr">
        <is>
          <t>Xem trang chi tiết phần thưởng độc lập</t>
        </is>
      </c>
      <c r="E18" s="8" t="inlineStr">
        <is>
          <t>LooknFeel</t>
        </is>
      </c>
      <c r="F18" s="9" t="inlineStr">
        <is>
          <t>/products/[rewardId], GET /api/rewards/[id]</t>
        </is>
      </c>
      <c r="G18" s="9" t="inlineStr">
        <is>
          <t>Xác minh hiển thị thông tin gói phần thưởng, số lượng còn lại và điều kiện nhận quà của backer</t>
        </is>
      </c>
    </row>
    <row r="19" ht="24" customHeight="1">
      <c r="A19" s="8" t="n">
        <v>18</v>
      </c>
      <c r="B19" s="8" t="inlineStr">
        <is>
          <t>TR-018</t>
        </is>
      </c>
      <c r="C19" s="8" t="inlineStr">
        <is>
          <t>REWARD</t>
        </is>
      </c>
      <c r="D19" s="9" t="inlineStr">
        <is>
          <t>Quản lý tệp tài sản số đính kèm phần thưởng</t>
        </is>
      </c>
      <c r="E19" s="8" t="inlineStr">
        <is>
          <t>Functional</t>
        </is>
      </c>
      <c r="F19" s="9" t="inlineStr">
        <is>
          <t>/api/rewards/[id]/digital-assets</t>
        </is>
      </c>
      <c r="G19" s="9" t="inlineStr">
        <is>
          <t>Xác minh tải lên tài sản số (PDF, file thiết kế) dành riêng cho người ủng hộ gói tài trợ số</t>
        </is>
      </c>
    </row>
    <row r="20" ht="24" customHeight="1">
      <c r="A20" s="8" t="n">
        <v>19</v>
      </c>
      <c r="B20" s="8" t="inlineStr">
        <is>
          <t>TR-019</t>
        </is>
      </c>
      <c r="C20" s="8" t="inlineStr">
        <is>
          <t>PLEDGE</t>
        </is>
      </c>
      <c r="D20" s="9" t="inlineStr">
        <is>
          <t>Khởi tạo giao dịch ủng hộ chuyển khoản ngân hàng VietQR</t>
        </is>
      </c>
      <c r="E20" s="8" t="inlineStr">
        <is>
          <t>Functional</t>
        </is>
      </c>
      <c r="F20" s="9" t="inlineStr">
        <is>
          <t>/campaigns/[slug]/pledge, POST /api/payment/bank-transfer</t>
        </is>
      </c>
      <c r="G20" s="9" t="inlineStr">
        <is>
          <t>Xác minh tạo bản ghi pledge PENDING và mã QR chuyển khoản ngân hàng trung gian</t>
        </is>
      </c>
    </row>
    <row r="21" ht="24" customHeight="1">
      <c r="A21" s="8" t="n">
        <v>20</v>
      </c>
      <c r="B21" s="8" t="inlineStr">
        <is>
          <t>TR-020</t>
        </is>
      </c>
      <c r="C21" s="8" t="inlineStr">
        <is>
          <t>PLEDGE</t>
        </is>
      </c>
      <c r="D21" s="9" t="inlineStr">
        <is>
          <t>Xác nhận vô hiệu hóa cổng MoMo theo mô hình ký quỹ</t>
        </is>
      </c>
      <c r="E21" s="8" t="inlineStr">
        <is>
          <t>Negative</t>
        </is>
      </c>
      <c r="F21" s="9" t="inlineStr">
        <is>
          <t>POST /api/payment/momo/create</t>
        </is>
      </c>
      <c r="G21" s="9" t="inlineStr">
        <is>
          <t>Xác minh hệ thống trả về HTTP 410 ESCROW_BANK_ONLY do đóng cổng thanh toán ví điện tử</t>
        </is>
      </c>
    </row>
    <row r="22" ht="24" customHeight="1">
      <c r="A22" s="8" t="n">
        <v>21</v>
      </c>
      <c r="B22" s="8" t="inlineStr">
        <is>
          <t>TR-021</t>
        </is>
      </c>
      <c r="C22" s="8" t="inlineStr">
        <is>
          <t>PLEDGE</t>
        </is>
      </c>
      <c r="D22" s="9" t="inlineStr">
        <is>
          <t>Xác nhận vô hiệu hóa cổng VNPay theo mô hình ký quỹ</t>
        </is>
      </c>
      <c r="E22" s="8" t="inlineStr">
        <is>
          <t>Negative</t>
        </is>
      </c>
      <c r="F22" s="9" t="inlineStr">
        <is>
          <t>POST /api/payment/vnpay/create</t>
        </is>
      </c>
      <c r="G22" s="9" t="inlineStr">
        <is>
          <t>Xác minh hệ thống trả về HTTP 410 ESCROW_BANK_ONLY ngăn chặn giao dịch ngoài kênh ngân hàng</t>
        </is>
      </c>
    </row>
    <row r="23" ht="24" customHeight="1">
      <c r="A23" s="8" t="n">
        <v>22</v>
      </c>
      <c r="B23" s="8" t="inlineStr">
        <is>
          <t>TR-022</t>
        </is>
      </c>
      <c r="C23" s="8" t="inlineStr">
        <is>
          <t>PLEDGE</t>
        </is>
      </c>
      <c r="D23" s="9" t="inlineStr">
        <is>
          <t>Xác nhận vô hiệu hóa cổng PayOS theo mô hình ký quỹ</t>
        </is>
      </c>
      <c r="E23" s="8" t="inlineStr">
        <is>
          <t>Negative</t>
        </is>
      </c>
      <c r="F23" s="9" t="inlineStr">
        <is>
          <t>POST /api/payment/payos/create</t>
        </is>
      </c>
      <c r="G23" s="9" t="inlineStr">
        <is>
          <t>Xác minh hệ thống trả về HTTP 410 ESCROW_BANK_ONLY cho cổng PayOS</t>
        </is>
      </c>
    </row>
    <row r="24" ht="24" customHeight="1">
      <c r="A24" s="8" t="n">
        <v>23</v>
      </c>
      <c r="B24" s="8" t="inlineStr">
        <is>
          <t>TR-023</t>
        </is>
      </c>
      <c r="C24" s="8" t="inlineStr">
        <is>
          <t>PLEDGE</t>
        </is>
      </c>
      <c r="D24" s="9" t="inlineStr">
        <is>
          <t>Admin đối soát và xác nhận khớp khoản tiền ủng hộ</t>
        </is>
      </c>
      <c r="E24" s="8" t="inlineStr">
        <is>
          <t>Functional</t>
        </is>
      </c>
      <c r="F24" s="9" t="inlineStr">
        <is>
          <t>POST /api/admin/pledges/[id]/settle, /simulate-settle</t>
        </is>
      </c>
      <c r="G24" s="9" t="inlineStr">
        <is>
          <t>Xác minh Admin đối soát lệnh chuyển khoản, cập nhật pledge sang SUCCESS và cộng dồn vốn dự án</t>
        </is>
      </c>
    </row>
    <row r="25" ht="24" customHeight="1">
      <c r="A25" s="8" t="n">
        <v>24</v>
      </c>
      <c r="B25" s="8" t="inlineStr">
        <is>
          <t>TR-024</t>
        </is>
      </c>
      <c r="C25" s="8" t="inlineStr">
        <is>
          <t>CERT</t>
        </is>
      </c>
      <c r="D25" s="9" t="inlineStr">
        <is>
          <t>Tra cứu công khai chứng từ và mã giao dịch</t>
        </is>
      </c>
      <c r="E25" s="8" t="inlineStr">
        <is>
          <t>Boundary</t>
        </is>
      </c>
      <c r="F25" s="9" t="inlineStr">
        <is>
          <t>/lookup, GET /api/lookup</t>
        </is>
      </c>
      <c r="G25" s="9" t="inlineStr">
        <is>
          <t>Xác minh tra cứu thông tin ủng hộ qua mã chứng từ hoặc mã giao dịch, kiểm tra validate tham số q</t>
        </is>
      </c>
    </row>
    <row r="26" ht="24" customHeight="1">
      <c r="A26" s="8" t="n">
        <v>25</v>
      </c>
      <c r="B26" s="8" t="inlineStr">
        <is>
          <t>TR-025</t>
        </is>
      </c>
      <c r="C26" s="8" t="inlineStr">
        <is>
          <t>CERT</t>
        </is>
      </c>
      <c r="D26" s="9" t="inlineStr">
        <is>
          <t>Xem giấy chứng nhận đóng góp điện tử trực tuyến</t>
        </is>
      </c>
      <c r="E26" s="8" t="inlineStr">
        <is>
          <t>LooknFeel</t>
        </is>
      </c>
      <c r="F26" s="9" t="inlineStr">
        <is>
          <t>/chung-tu/[code]</t>
        </is>
      </c>
      <c r="G26" s="9" t="inlineStr">
        <is>
          <t>Xác minh hiển thị trang chứng nhận đóng góp gồm thông tin người ủng hộ, số tiền, ngày giờ và dự án</t>
        </is>
      </c>
    </row>
    <row r="27" ht="24" customHeight="1">
      <c r="A27" s="8" t="n">
        <v>26</v>
      </c>
      <c r="B27" s="8" t="inlineStr">
        <is>
          <t>TR-026</t>
        </is>
      </c>
      <c r="C27" s="8" t="inlineStr">
        <is>
          <t>CERT</t>
        </is>
      </c>
      <c r="D27" s="9" t="inlineStr">
        <is>
          <t>Xem hóa đơn điện tử minh bạch giao dịch</t>
        </is>
      </c>
      <c r="E27" s="8" t="inlineStr">
        <is>
          <t>LooknFeel</t>
        </is>
      </c>
      <c r="F27" s="9" t="inlineStr">
        <is>
          <t>/hoa-don/[number]</t>
        </is>
      </c>
      <c r="G27" s="9" t="inlineStr">
        <is>
          <t>Xác minh hiển thị hóa đơn thu tiền đóng góp với số seri, mã hóa đơn điện tử công khai</t>
        </is>
      </c>
    </row>
    <row r="28" ht="24" customHeight="1">
      <c r="A28" s="8" t="n">
        <v>27</v>
      </c>
      <c r="B28" s="8" t="inlineStr">
        <is>
          <t>TR-027</t>
        </is>
      </c>
      <c r="C28" s="8" t="inlineStr">
        <is>
          <t>CERT</t>
        </is>
      </c>
      <c r="D28" s="9" t="inlineStr">
        <is>
          <t>Xem sổ cái thu chi minh bạch tài chính công cộng</t>
        </is>
      </c>
      <c r="E28" s="8" t="inlineStr">
        <is>
          <t>Functional</t>
        </is>
      </c>
      <c r="F28" s="9" t="inlineStr">
        <is>
          <t>/so, GET /api/so/ledger</t>
        </is>
      </c>
      <c r="G28" s="9" t="inlineStr">
        <is>
          <t>Xác minh hiển thị bảng kê thu chi đóng góp cộng đồng thời gian thực, đảm bảo tính minh bạch</t>
        </is>
      </c>
    </row>
    <row r="29" ht="24" customHeight="1">
      <c r="A29" s="8" t="n">
        <v>28</v>
      </c>
      <c r="B29" s="8" t="inlineStr">
        <is>
          <t>TR-028</t>
        </is>
      </c>
      <c r="C29" s="8" t="inlineStr">
        <is>
          <t>COMM</t>
        </is>
      </c>
      <c r="D29" s="9" t="inlineStr">
        <is>
          <t>Gửi phản hồi và góp ý cải tiến hệ thống</t>
        </is>
      </c>
      <c r="E29" s="8" t="inlineStr">
        <is>
          <t>Boundary</t>
        </is>
      </c>
      <c r="F29" s="9" t="inlineStr">
        <is>
          <t>/gop-y, POST /api/feedback</t>
        </is>
      </c>
      <c r="G29" s="9" t="inlineStr">
        <is>
          <t>Xác minh yêu cầu đăng nhập, giới hạn nội dung 10-2000 ký tự và giới hạn tần suất 3 lần/10 phút</t>
        </is>
      </c>
    </row>
    <row r="30" ht="24" customHeight="1">
      <c r="A30" s="8" t="n">
        <v>29</v>
      </c>
      <c r="B30" s="8" t="inlineStr">
        <is>
          <t>TR-029</t>
        </is>
      </c>
      <c r="C30" s="8" t="inlineStr">
        <is>
          <t>COMM</t>
        </is>
      </c>
      <c r="D30" s="9" t="inlineStr">
        <is>
          <t>Báo cáo vi phạm chiến dịch hoặc nội dung độc hại</t>
        </is>
      </c>
      <c r="E30" s="8" t="inlineStr">
        <is>
          <t>Functional</t>
        </is>
      </c>
      <c r="F30" s="9" t="inlineStr">
        <is>
          <t>POST /api/reports</t>
        </is>
      </c>
      <c r="G30" s="9" t="inlineStr">
        <is>
          <t>Xác minh người dùng gửi báo cáo vi phạm chiến dịch kèm lý do và chứng cứ để quản trị viên xử lý</t>
        </is>
      </c>
    </row>
    <row r="31" ht="24" customHeight="1">
      <c r="A31" s="8" t="n">
        <v>30</v>
      </c>
      <c r="B31" s="8" t="inlineStr">
        <is>
          <t>TR-030</t>
        </is>
      </c>
      <c r="C31" s="8" t="inlineStr">
        <is>
          <t>COMM</t>
        </is>
      </c>
      <c r="D31" s="9" t="inlineStr">
        <is>
          <t>Theo dõi và nhận thông báo cập nhật từ chiến dịch</t>
        </is>
      </c>
      <c r="E31" s="8" t="inlineStr">
        <is>
          <t>Functional</t>
        </is>
      </c>
      <c r="F31" s="9" t="inlineStr">
        <is>
          <t>POST /api/campaigns/[slug]/follow</t>
        </is>
      </c>
      <c r="G31" s="9" t="inlineStr">
        <is>
          <t>Xác minh người dùng bật/tắt theo dõi chiến dịch để nhận thông báo khi có tin tức mới</t>
        </is>
      </c>
    </row>
    <row r="32" ht="24" customHeight="1">
      <c r="A32" s="8" t="n">
        <v>31</v>
      </c>
      <c r="B32" s="8" t="inlineStr">
        <is>
          <t>TR-031</t>
        </is>
      </c>
      <c r="C32" s="8" t="inlineStr">
        <is>
          <t>COMM</t>
        </is>
      </c>
      <c r="D32" s="9" t="inlineStr">
        <is>
          <t>Đánh giá và nhận xét phần thưởng đã nhận</t>
        </is>
      </c>
      <c r="E32" s="8" t="inlineStr">
        <is>
          <t>Functional</t>
        </is>
      </c>
      <c r="F32" s="9" t="inlineStr">
        <is>
          <t>POST /api/campaigns/[slug]/reviews</t>
        </is>
      </c>
      <c r="G32" s="9" t="inlineStr">
        <is>
          <t>Xác minh backer gửi đánh giá số sao (1-5 sao) và nhận xét chất lượng phần thưởng nhận được</t>
        </is>
      </c>
    </row>
    <row r="33" ht="24" customHeight="1">
      <c r="A33" s="8" t="n">
        <v>32</v>
      </c>
      <c r="B33" s="8" t="inlineStr">
        <is>
          <t>TR-032</t>
        </is>
      </c>
      <c r="C33" s="8" t="inlineStr">
        <is>
          <t>BLOG</t>
        </is>
      </c>
      <c r="D33" s="9" t="inlineStr">
        <is>
          <t>Xem danh sách và bài viết tin tức cộng đồng</t>
        </is>
      </c>
      <c r="E33" s="8" t="inlineStr">
        <is>
          <t>LooknFeel</t>
        </is>
      </c>
      <c r="F33" s="9" t="inlineStr">
        <is>
          <t>/blog, /blog/[slug], GET /api/blog/posts</t>
        </is>
      </c>
      <c r="G33" s="9" t="inlineStr">
        <is>
          <t>Xác minh hiển thị danh mục bài viết tin tức, bài viết nổi bật và chi tiết bài viết blog</t>
        </is>
      </c>
    </row>
    <row r="34" ht="24" customHeight="1">
      <c r="A34" s="8" t="n">
        <v>33</v>
      </c>
      <c r="B34" s="8" t="inlineStr">
        <is>
          <t>TR-033</t>
        </is>
      </c>
      <c r="C34" s="8" t="inlineStr">
        <is>
          <t>BLOG</t>
        </is>
      </c>
      <c r="D34" s="9" t="inlineStr">
        <is>
          <t>Soạn thảo và đăng bài viết blog dự án</t>
        </is>
      </c>
      <c r="E34" s="8" t="inlineStr">
        <is>
          <t>Functional</t>
        </is>
      </c>
      <c r="F34" s="9" t="inlineStr">
        <is>
          <t>/blog/editor, POST /api/blog/posts</t>
        </is>
      </c>
      <c r="G34" s="9" t="inlineStr">
        <is>
          <t>Xác minh trình soạn thảo rich text cho Creator lưu bài nháp DRAFT và gửi xuất bản bài viết</t>
        </is>
      </c>
    </row>
    <row r="35" ht="24" customHeight="1">
      <c r="A35" s="8" t="n">
        <v>34</v>
      </c>
      <c r="B35" s="8" t="inlineStr">
        <is>
          <t>TR-034</t>
        </is>
      </c>
      <c r="C35" s="8" t="inlineStr">
        <is>
          <t>BLOG</t>
        </is>
      </c>
      <c r="D35" s="9" t="inlineStr">
        <is>
          <t>Thích và lưu dấu bài viết blog yêu thích</t>
        </is>
      </c>
      <c r="E35" s="8" t="inlineStr">
        <is>
          <t>Functional</t>
        </is>
      </c>
      <c r="F35" s="9" t="inlineStr">
        <is>
          <t>POST /api/blog/posts/[slug]/like, /bookmark</t>
        </is>
      </c>
      <c r="G35" s="9" t="inlineStr">
        <is>
          <t>Xác minh người dùng đã đăng nhập tương tác like và bookmark lưu bài viết vào hồ sơ cá nhân</t>
        </is>
      </c>
    </row>
    <row r="36" ht="24" customHeight="1">
      <c r="A36" s="8" t="n">
        <v>35</v>
      </c>
      <c r="B36" s="8" t="inlineStr">
        <is>
          <t>TR-035</t>
        </is>
      </c>
      <c r="C36" s="8" t="inlineStr">
        <is>
          <t>BLOG</t>
        </is>
      </c>
      <c r="D36" s="9" t="inlineStr">
        <is>
          <t>Admin kiểm duyệt bài viết trước khi xuất bản</t>
        </is>
      </c>
      <c r="E36" s="8" t="inlineStr">
        <is>
          <t>Functional</t>
        </is>
      </c>
      <c r="F36" s="9" t="inlineStr">
        <is>
          <t>POST /api/admin/blog/posts/[id]/review</t>
        </is>
      </c>
      <c r="G36" s="9" t="inlineStr">
        <is>
          <t>Xác minh quản trị viên kiểm tra nội dung bài viết trước khi cho phép xuất bản rộng rãi</t>
        </is>
      </c>
    </row>
    <row r="37" ht="24" customHeight="1">
      <c r="A37" s="8" t="n">
        <v>36</v>
      </c>
      <c r="B37" s="8" t="inlineStr">
        <is>
          <t>TR-036</t>
        </is>
      </c>
      <c r="C37" s="8" t="inlineStr">
        <is>
          <t>CHAT</t>
        </is>
      </c>
      <c r="D37" s="9" t="inlineStr">
        <is>
          <t>Truy cập giao diện danh sách tin nhắn hội thoại</t>
        </is>
      </c>
      <c r="E37" s="8" t="inlineStr">
        <is>
          <t>LooknFeel</t>
        </is>
      </c>
      <c r="F37" s="9" t="inlineStr">
        <is>
          <t>/chat, /chat/[conversationId]</t>
        </is>
      </c>
      <c r="G37" s="9" t="inlineStr">
        <is>
          <t>Xác minh hiển thị danh sách hội thoại giữa Backer và Creator, chặn truy cập khi chưa đăng nhập</t>
        </is>
      </c>
    </row>
    <row r="38" ht="24" customHeight="1">
      <c r="A38" s="8" t="n">
        <v>37</v>
      </c>
      <c r="B38" s="8" t="inlineStr">
        <is>
          <t>TR-037</t>
        </is>
      </c>
      <c r="C38" s="8" t="inlineStr">
        <is>
          <t>CHAT</t>
        </is>
      </c>
      <c r="D38" s="9" t="inlineStr">
        <is>
          <t>Cơ chế truyền tín hiệu cuộc gọi P2P qua polling định kỳ</t>
        </is>
      </c>
      <c r="E38" s="8" t="inlineStr">
        <is>
          <t>Boundary</t>
        </is>
      </c>
      <c r="F38" s="9" t="inlineStr">
        <is>
          <t>src/hooks/useCall.ts</t>
        </is>
      </c>
      <c r="G38" s="9" t="inlineStr">
        <is>
          <t>Xác minh chu kỳ polling tín hiệu cuộc gọi POLL_MS = 1200ms và thời gian timeout kết nối 45000ms</t>
        </is>
      </c>
    </row>
    <row r="39" ht="24" customHeight="1">
      <c r="A39" s="8" t="n">
        <v>38</v>
      </c>
      <c r="B39" s="8" t="inlineStr">
        <is>
          <t>TR-038</t>
        </is>
      </c>
      <c r="C39" s="8" t="inlineStr">
        <is>
          <t>CHAT</t>
        </is>
      </c>
      <c r="D39" s="9" t="inlineStr">
        <is>
          <t>Khởi tạo và kết nối cuộc gọi thoại âm thanh P2P</t>
        </is>
      </c>
      <c r="E39" s="8" t="inlineStr">
        <is>
          <t>Functional</t>
        </is>
      </c>
      <c r="F39" s="9" t="inlineStr">
        <is>
          <t>src/hooks/useCall.ts, STUN STUN.l.google.com:19302</t>
        </is>
      </c>
      <c r="G39" s="9" t="inlineStr">
        <is>
          <t>Xác minh tạo tín hiệu call-signal loại 'call' và gửi ICE candidate kết nối ngang hàng WebRTC</t>
        </is>
      </c>
    </row>
    <row r="40" ht="24" customHeight="1">
      <c r="A40" s="8" t="n">
        <v>39</v>
      </c>
      <c r="B40" s="8" t="inlineStr">
        <is>
          <t>TR-039</t>
        </is>
      </c>
      <c r="C40" s="8" t="inlineStr">
        <is>
          <t>ADMIN</t>
        </is>
      </c>
      <c r="D40" s="9" t="inlineStr">
        <is>
          <t>Phân quyền bảo vệ bảng điều khiển quản trị tối cao</t>
        </is>
      </c>
      <c r="E40" s="8" t="inlineStr">
        <is>
          <t>Negative</t>
        </is>
      </c>
      <c r="F40" s="9" t="inlineStr">
        <is>
          <t>/dashboard/admin, /api/admin/permissions</t>
        </is>
      </c>
      <c r="G40" s="9" t="inlineStr">
        <is>
          <t>Xác minh chỉ tài khoản có role ADMIN hoặc isAdmin=true mới truy cập được dashboard quản trị</t>
        </is>
      </c>
    </row>
    <row r="41" ht="24" customHeight="1">
      <c r="A41" s="8" t="n">
        <v>40</v>
      </c>
      <c r="B41" s="8" t="inlineStr">
        <is>
          <t>TR-040</t>
        </is>
      </c>
      <c r="C41" s="8" t="inlineStr">
        <is>
          <t>ADMIN</t>
        </is>
      </c>
      <c r="D41" s="9" t="inlineStr">
        <is>
          <t>Quản lý tài khoản người dùng và khóa vi phạm</t>
        </is>
      </c>
      <c r="E41" s="8" t="inlineStr">
        <is>
          <t>Functional</t>
        </is>
      </c>
      <c r="F41" s="9" t="inlineStr">
        <is>
          <t>/dashboard/admin/users, POST /api/admin/users/[userId]/update-status</t>
        </is>
      </c>
      <c r="G41" s="9" t="inlineStr">
        <is>
          <t>Xác minh quản trị viên tìm kiếm người dùng và cập nhật trạng thái hoạt động (NORMAL, BLOCKED)</t>
        </is>
      </c>
    </row>
    <row r="42" ht="24" customHeight="1">
      <c r="A42" s="8" t="n">
        <v>41</v>
      </c>
      <c r="B42" s="8" t="inlineStr">
        <is>
          <t>TR-041</t>
        </is>
      </c>
      <c r="C42" s="8" t="inlineStr">
        <is>
          <t>ADMIN</t>
        </is>
      </c>
      <c r="D42" s="9" t="inlineStr">
        <is>
          <t>Quản lý danh sách từ khóa kiểm duyệt cấm</t>
        </is>
      </c>
      <c r="E42" s="8" t="inlineStr">
        <is>
          <t>Functional</t>
        </is>
      </c>
      <c r="F42" s="9" t="inlineStr">
        <is>
          <t>/dashboard/admin/moderation, POST /api/admin/moderation/words</t>
        </is>
      </c>
      <c r="G42" s="9" t="inlineStr">
        <is>
          <t>Xác minh tra cứu, thêm và xóa từ khóa nhạy cảm trong bộ lọc nội dung toàn hệ thống</t>
        </is>
      </c>
    </row>
    <row r="43" ht="24" customHeight="1">
      <c r="A43" s="8" t="n">
        <v>42</v>
      </c>
      <c r="B43" s="8" t="inlineStr">
        <is>
          <t>TR-042</t>
        </is>
      </c>
      <c r="C43" s="8" t="inlineStr">
        <is>
          <t>ADMIN</t>
        </is>
      </c>
      <c r="D43" s="9" t="inlineStr">
        <is>
          <t>Xem báo cáo thống kê doanh thu và phân tích hệ thống</t>
        </is>
      </c>
      <c r="E43" s="8" t="inlineStr">
        <is>
          <t>LooknFeel</t>
        </is>
      </c>
      <c r="F43" s="9" t="inlineStr">
        <is>
          <t>/dashboard/admin/revenue, GET /api/admin/analytics/behavior</t>
        </is>
      </c>
      <c r="G43" s="9" t="inlineStr">
        <is>
          <t>Xác minh tổng hợp biểu đồ doanh thu, tổng số tiền gây quỹ và chỉ số tăng trưởng người dùng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38" customWidth="1" min="4" max="4"/>
    <col width="14" customWidth="1" min="5" max="5"/>
    <col width="28" customWidth="1" min="6" max="6"/>
    <col width="38" customWidth="1" min="7" max="7"/>
    <col width="28" customWidth="1" min="8" max="8"/>
    <col width="38" customWidth="1" min="9" max="9"/>
    <col width="16" customWidth="1" min="10" max="10"/>
    <col width="45" customWidth="1" min="11" max="11"/>
    <col width="18" customWidth="1" min="12" max="12"/>
  </cols>
  <sheetData>
    <row r="1" ht="28" customHeight="1">
      <c r="A1" s="5" t="inlineStr">
        <is>
          <t>TR ID</t>
        </is>
      </c>
      <c r="B1" s="5" t="inlineStr">
        <is>
          <t>TC ID</t>
        </is>
      </c>
      <c r="C1" s="5" t="inlineStr">
        <is>
          <t>Phân hệ</t>
        </is>
      </c>
      <c r="D1" s="5" t="inlineStr">
        <is>
          <t>Kịch bản kiểm thử</t>
        </is>
      </c>
      <c r="E1" s="5" t="inlineStr">
        <is>
          <t>Mức độ ưu tiên</t>
        </is>
      </c>
      <c r="F1" s="5" t="inlineStr">
        <is>
          <t>Điều kiện tiên quyết</t>
        </is>
      </c>
      <c r="G1" s="5" t="inlineStr">
        <is>
          <t>Các bước thực hiện</t>
        </is>
      </c>
      <c r="H1" s="5" t="inlineStr">
        <is>
          <t>Dữ liệu kiểm thử</t>
        </is>
      </c>
      <c r="I1" s="5" t="inlineStr">
        <is>
          <t>Kết quả mong đợi</t>
        </is>
      </c>
      <c r="J1" s="5" t="inlineStr">
        <is>
          <t>Kết quả thực thi</t>
        </is>
      </c>
      <c r="K1" s="5" t="inlineStr">
        <is>
          <t>Bằng chứng (lệnh/ảnh/log)</t>
        </is>
      </c>
      <c r="L1" s="5" t="inlineStr">
        <is>
          <t>Ngày chạy</t>
        </is>
      </c>
    </row>
    <row r="2" ht="28" customHeight="1">
      <c r="A2" s="8" t="inlineStr">
        <is>
          <t>TR-001</t>
        </is>
      </c>
      <c r="B2" s="8" t="inlineStr">
        <is>
          <t>TC_AUTH_001</t>
        </is>
      </c>
      <c r="C2" s="8" t="inlineStr">
        <is>
          <t>AUTH</t>
        </is>
      </c>
      <c r="D2" s="9" t="inlineStr">
        <is>
          <t>Kiểm tra hiển thị giao diện form đăng nhập trên Web Demo</t>
        </is>
      </c>
      <c r="E2" s="8" t="inlineStr">
        <is>
          <t>High</t>
        </is>
      </c>
      <c r="F2" s="9" t="inlineStr">
        <is>
          <t>Người dùng chưa đăng nhập, kết nối mạng ổn định</t>
        </is>
      </c>
      <c r="G2" s="9" t="inlineStr">
        <is>
          <t>1. Mở trình duyệt truy cập /auth/login
2. Quan sát các trường nhập email, password và nút bấm</t>
        </is>
      </c>
      <c r="H2" s="9" t="inlineStr">
        <is>
          <t>URL: /auth/login</t>
        </is>
      </c>
      <c r="I2" s="9" t="inlineStr">
        <is>
          <t>Hiển thị đầy đủ form đăng nhập, logo Tử Tế Fund, nút Đăng nhập và liên kết Quên mật khẩu</t>
        </is>
      </c>
      <c r="J2" s="14" t="inlineStr">
        <is>
          <t>PASS</t>
        </is>
      </c>
      <c r="K2" s="9" t="inlineStr">
        <is>
          <t>evidence/TC_AUTH_001.png; HTTP 200</t>
        </is>
      </c>
      <c r="L2" s="8" t="inlineStr">
        <is>
          <t>30/10/2026 17:28</t>
        </is>
      </c>
    </row>
    <row r="3" ht="28" customHeight="1">
      <c r="A3" s="8" t="inlineStr">
        <is>
          <t>TR-001</t>
        </is>
      </c>
      <c r="B3" s="8" t="inlineStr">
        <is>
          <t>TC_AUTH_002</t>
        </is>
      </c>
      <c r="C3" s="8" t="inlineStr">
        <is>
          <t>AUTH</t>
        </is>
      </c>
      <c r="D3" s="9" t="inlineStr">
        <is>
          <t>Đăng nhập thành công với tài khoản Quản trị viên (ADMIN)</t>
        </is>
      </c>
      <c r="E3" s="8" t="inlineStr">
        <is>
          <t>High</t>
        </is>
      </c>
      <c r="F3" s="9" t="inlineStr">
        <is>
          <t>Tài khoản admin@crowdfunding.vn đã có trong CSDL seed</t>
        </is>
      </c>
      <c r="G3" s="9" t="inlineStr">
        <is>
          <t>1. Mở trang /auth/login
2. Nhập email: admin@crowdfunding.vn
3. Nhập password: Admin@123456
4. Bấm 'Đăng nhập'</t>
        </is>
      </c>
      <c r="H3" s="9" t="inlineStr">
        <is>
          <t>email: admin@crowdfunding.vn, pass: Admin@123456</t>
        </is>
      </c>
      <c r="I3" s="9" t="inlineStr">
        <is>
          <t>Đăng nhập thành công, NextAuth cấp cookie phiên JWT hợp lệ, chuyển hướng sang trang chủ hoặc /dashboard/admin</t>
        </is>
      </c>
      <c r="J3" s="14" t="inlineStr">
        <is>
          <t>PASS</t>
        </is>
      </c>
      <c r="K3" s="9" t="inlineStr">
        <is>
          <t>curl -X POST /api/auth/callback/credentials -&gt; HTTP 200, url: /</t>
        </is>
      </c>
      <c r="L3" s="8" t="inlineStr">
        <is>
          <t>30/10/2026 17:09</t>
        </is>
      </c>
    </row>
    <row r="4" ht="28" customHeight="1">
      <c r="A4" s="8" t="inlineStr">
        <is>
          <t>TR-001</t>
        </is>
      </c>
      <c r="B4" s="8" t="inlineStr">
        <is>
          <t>TC_AUTH_003</t>
        </is>
      </c>
      <c r="C4" s="8" t="inlineStr">
        <is>
          <t>AUTH</t>
        </is>
      </c>
      <c r="D4" s="9" t="inlineStr">
        <is>
          <t>Từ chối đăng nhập khi người dùng nhập sai mật khẩu</t>
        </is>
      </c>
      <c r="E4" s="8" t="inlineStr">
        <is>
          <t>High</t>
        </is>
      </c>
      <c r="F4" s="9" t="inlineStr">
        <is>
          <t>Tài khoản tồn tại trong hệ thống</t>
        </is>
      </c>
      <c r="G4" s="9" t="inlineStr">
        <is>
          <t>1. Mở /auth/login
2. Nhập email admin@crowdfunding.vn kèm mật khẩu sai
3. Bấm 'Đăng nhập'</t>
        </is>
      </c>
      <c r="H4" s="9" t="inlineStr">
        <is>
          <t>email: admin@crowdfunding.vn, pass: WrongPassword@999</t>
        </is>
      </c>
      <c r="I4" s="9" t="inlineStr">
        <is>
          <t>Đăng nhập thất bại, NextAuth trả về callback redirect lỗi /auth/login?error=CredentialsSignin</t>
        </is>
      </c>
      <c r="J4" s="14" t="inlineStr">
        <is>
          <t>PASS</t>
        </is>
      </c>
      <c r="K4" s="9" t="inlineStr">
        <is>
          <t>curl POST callback/credentials -&gt; HTTP 200 url: /auth/login?error=CredentialsSignin</t>
        </is>
      </c>
      <c r="L4" s="8" t="inlineStr">
        <is>
          <t>30/10/2026 17:10</t>
        </is>
      </c>
    </row>
    <row r="5" ht="28" customHeight="1">
      <c r="A5" s="8" t="inlineStr">
        <is>
          <t>TR-002</t>
        </is>
      </c>
      <c r="B5" s="8" t="inlineStr">
        <is>
          <t>TC_AUTH_004</t>
        </is>
      </c>
      <c r="C5" s="8" t="inlineStr">
        <is>
          <t>AUTH</t>
        </is>
      </c>
      <c r="D5" s="9" t="inlineStr">
        <is>
          <t>Kiểm tra nút bấm đăng nhập bằng Google trên trang đăng nhập</t>
        </is>
      </c>
      <c r="E5" s="8" t="inlineStr">
        <is>
          <t>Medium</t>
        </is>
      </c>
      <c r="F5" s="9" t="inlineStr">
        <is>
          <t>Mở trang /auth/login</t>
        </is>
      </c>
      <c r="G5" s="9" t="inlineStr">
        <is>
          <t>1. Truy cập /auth/login
2. Kiểm tra sự xuất hiện của nút 'Đăng nhập với Google'
3. Kiểm tra API /api/auth/providers</t>
        </is>
      </c>
      <c r="H5" s="9" t="inlineStr">
        <is>
          <t>URL: /api/auth/providers</t>
        </is>
      </c>
      <c r="I5" s="9" t="inlineStr">
        <is>
          <t>Nút Google hiển thị đúng thương hiệu; API /api/auth/providers trả về provider google có type oidc</t>
        </is>
      </c>
      <c r="J5" s="14" t="inlineStr">
        <is>
          <t>PASS</t>
        </is>
      </c>
      <c r="K5" s="9" t="inlineStr">
        <is>
          <t>curl GET /api/auth/providers -&gt; HTTP 200 id: google</t>
        </is>
      </c>
      <c r="L5" s="8" t="inlineStr">
        <is>
          <t>30/10/2026 17:07</t>
        </is>
      </c>
    </row>
    <row r="6" ht="28" customHeight="1">
      <c r="A6" s="8" t="inlineStr">
        <is>
          <t>TR-002</t>
        </is>
      </c>
      <c r="B6" s="8" t="inlineStr">
        <is>
          <t>TC_AUTH_005</t>
        </is>
      </c>
      <c r="C6" s="8" t="inlineStr">
        <is>
          <t>AUTH</t>
        </is>
      </c>
      <c r="D6" s="9" t="inlineStr">
        <is>
          <t>Đăng nhập bằng tài khoản Google thực tế qua giao diện OAuth</t>
        </is>
      </c>
      <c r="E6" s="8" t="inlineStr">
        <is>
          <t>High</t>
        </is>
      </c>
      <c r="F6" s="9" t="inlineStr">
        <is>
          <t>Tài khoản Google thật</t>
        </is>
      </c>
      <c r="G6" s="9" t="inlineStr">
        <is>
          <t>1. Bấm nút 'Đăng nhập với Google'
2. Chuyển sang tài khoản Google accounts.google.com
3. Xác thực mã 2FA</t>
        </is>
      </c>
      <c r="H6" s="9" t="inlineStr">
        <is>
          <t>Google Account credentials</t>
        </is>
      </c>
      <c r="I6" s="9" t="inlineStr">
        <is>
          <t>Đăng nhập và callback về hệ thống thành công</t>
        </is>
      </c>
      <c r="J6" s="8" t="inlineStr"/>
      <c r="K6" s="9" t="inlineStr">
        <is>
          <t>CHƯA CHẠY – nhóm tự test: Cần tài khoản Google thật và xác thực 2FA tương tác bên ngoài</t>
        </is>
      </c>
      <c r="L6" s="8" t="inlineStr"/>
    </row>
    <row r="7" ht="28" customHeight="1">
      <c r="A7" s="8" t="inlineStr">
        <is>
          <t>TR-003</t>
        </is>
      </c>
      <c r="B7" s="8" t="inlineStr">
        <is>
          <t>TC_AUTH_006</t>
        </is>
      </c>
      <c r="C7" s="8" t="inlineStr">
        <is>
          <t>AUTH</t>
        </is>
      </c>
      <c r="D7" s="9" t="inlineStr">
        <is>
          <t>Từ chối đăng ký tài khoản mới khi mật khẩu dưới 6 ký tự</t>
        </is>
      </c>
      <c r="E7" s="8" t="inlineStr">
        <is>
          <t>High</t>
        </is>
      </c>
      <c r="F7" s="9" t="inlineStr">
        <is>
          <t>Chưa đăng nhập, gọi API đăng ký</t>
        </is>
      </c>
      <c r="G7" s="9" t="inlineStr">
        <is>
          <t>1. Gửi POST /api/auth/register
2. Nhập password dài 5 ký tự '12345'
3. Kiểm tra phản hồi</t>
        </is>
      </c>
      <c r="H7" s="9" t="inlineStr">
        <is>
          <t>name: Test User, email: newuser@gmail.com, pass: 12345, acceptTerms: true</t>
        </is>
      </c>
      <c r="I7" s="9" t="inlineStr">
        <is>
          <t>Hệ thống từ chối, trả HTTP 400 kèm thông báo: 'Mật khẩu phải có ít nhất 6 ký tự'</t>
        </is>
      </c>
      <c r="J7" s="14" t="inlineStr">
        <is>
          <t>PASS</t>
        </is>
      </c>
      <c r="K7" s="9" t="inlineStr">
        <is>
          <t>curl POST /api/auth/register (pass='12345') -&gt; HTTP 400 'Mật khẩu phải có ít nhất 6 ký tự'</t>
        </is>
      </c>
      <c r="L7" s="8" t="inlineStr">
        <is>
          <t>30/10/2026 17:02</t>
        </is>
      </c>
    </row>
    <row r="8" ht="28" customHeight="1">
      <c r="A8" s="8" t="inlineStr">
        <is>
          <t>TR-003</t>
        </is>
      </c>
      <c r="B8" s="8" t="inlineStr">
        <is>
          <t>TC_AUTH_007</t>
        </is>
      </c>
      <c r="C8" s="8" t="inlineStr">
        <is>
          <t>AUTH</t>
        </is>
      </c>
      <c r="D8" s="9" t="inlineStr">
        <is>
          <t>Từ chối đăng ký khi người dùng không đồng ý điều khoản dịch vụ</t>
        </is>
      </c>
      <c r="E8" s="8" t="inlineStr">
        <is>
          <t>Medium</t>
        </is>
      </c>
      <c r="F8" s="9" t="inlineStr">
        <is>
          <t>Chưa đăng nhập</t>
        </is>
      </c>
      <c r="G8" s="9" t="inlineStr">
        <is>
          <t>1. Gửi POST /api/auth/register
2. Nhập đầy đủ thông tin hợp lệ nhưng truyền acceptTerms: false</t>
        </is>
      </c>
      <c r="H8" s="9" t="inlineStr">
        <is>
          <t>email: terms@test.com, password: ValidPass@123, acceptTerms: false</t>
        </is>
      </c>
      <c r="I8" s="9" t="inlineStr">
        <is>
          <t>Hệ thống từ chối, trả HTTP 400: 'Bạn cần đồng ý Điều khoản sử dụng và Chính sách bảo mật...'</t>
        </is>
      </c>
      <c r="J8" s="14" t="inlineStr">
        <is>
          <t>PASS</t>
        </is>
      </c>
      <c r="K8" s="9" t="inlineStr">
        <is>
          <t>curl POST /api/auth/register (acceptTerms=false) -&gt; HTTP 400 'Bạn cần đồng ý Điều khoản...'</t>
        </is>
      </c>
      <c r="L8" s="8" t="inlineStr">
        <is>
          <t>30/10/2026 17:02</t>
        </is>
      </c>
    </row>
    <row r="9" ht="28" customHeight="1">
      <c r="A9" s="8" t="inlineStr">
        <is>
          <t>TR-003</t>
        </is>
      </c>
      <c r="B9" s="8" t="inlineStr">
        <is>
          <t>TC_AUTH_008</t>
        </is>
      </c>
      <c r="C9" s="8" t="inlineStr">
        <is>
          <t>AUTH</t>
        </is>
      </c>
      <c r="D9" s="9" t="inlineStr">
        <is>
          <t>Đăng ký thành công tài khoản Backer với dữ liệu hợp lệ</t>
        </is>
      </c>
      <c r="E9" s="8" t="inlineStr">
        <is>
          <t>High</t>
        </is>
      </c>
      <c r="F9" s="9" t="inlineStr">
        <is>
          <t>Email chưa từng đăng ký trên hệ thống</t>
        </is>
      </c>
      <c r="G9" s="9" t="inlineStr">
        <is>
          <t>1. Gửi POST /api/auth/register với thông tin hợp lệ
2. Kiểm tra HTTP code và bản ghi tạo mới trong CSDL</t>
        </is>
      </c>
      <c r="H9" s="9" t="inlineStr">
        <is>
          <t>name: QA Backer, email: qa.nhom02.backer@gmail.com, pass: Nhom02@2026, acceptTerms: true</t>
        </is>
      </c>
      <c r="I9" s="9" t="inlineStr">
        <is>
          <t>Đăng ký thành công, HTTP 200/201, tạo bản ghi users với role=BACKER, mật khẩu được băm bcrypt</t>
        </is>
      </c>
      <c r="J9" s="14" t="inlineStr">
        <is>
          <t>PASS</t>
        </is>
      </c>
      <c r="K9" s="9" t="inlineStr">
        <is>
          <t>curl POST /api/auth/register -&gt; HTTP 200 'Đăng ký tài khoản thành công', role: BACKER</t>
        </is>
      </c>
      <c r="L9" s="8" t="inlineStr">
        <is>
          <t>30/10/2026 17:02</t>
        </is>
      </c>
    </row>
    <row r="10" ht="28" customHeight="1">
      <c r="A10" s="8" t="inlineStr">
        <is>
          <t>TR-004</t>
        </is>
      </c>
      <c r="B10" s="8" t="inlineStr">
        <is>
          <t>TC_AUTH_009</t>
        </is>
      </c>
      <c r="C10" s="8" t="inlineStr">
        <is>
          <t>AUTH</t>
        </is>
      </c>
      <c r="D10" s="9" t="inlineStr">
        <is>
          <t>Yêu cầu khôi phục mật khẩu cho email tồn tại trong hệ thống</t>
        </is>
      </c>
      <c r="E10" s="8" t="inlineStr">
        <is>
          <t>Medium</t>
        </is>
      </c>
      <c r="F10" s="9" t="inlineStr">
        <is>
          <t>Email admin@crowdfunding.vn tồn tại</t>
        </is>
      </c>
      <c r="G10" s="9" t="inlineStr">
        <is>
          <t>1. Gửi POST /api/auth/forgot-password
2. Truyền email admin@crowdfunding.vn
3. Kiểm tra DB password_reset_tokens</t>
        </is>
      </c>
      <c r="H10" s="9" t="inlineStr">
        <is>
          <t>email: admin@crowdfunding.vn</t>
        </is>
      </c>
      <c r="I10" s="9" t="inlineStr">
        <is>
          <t>Hệ thống tạo token ngẫu nhiên sha256 trong bảng password_reset_tokens</t>
        </is>
      </c>
      <c r="J10" s="14" t="inlineStr">
        <is>
          <t>PASS</t>
        </is>
      </c>
      <c r="K10" s="9" t="inlineStr">
        <is>
          <t>Code inspection src/lib/password-reset.ts; tokenHash sha256 tạo thành công</t>
        </is>
      </c>
      <c r="L10" s="8" t="inlineStr">
        <is>
          <t>30/10/2026 17:02</t>
        </is>
      </c>
    </row>
    <row r="11" ht="28" customHeight="1">
      <c r="A11" s="8" t="inlineStr">
        <is>
          <t>TR-004</t>
        </is>
      </c>
      <c r="B11" s="8" t="inlineStr">
        <is>
          <t>TC_AUTH_010</t>
        </is>
      </c>
      <c r="C11" s="8" t="inlineStr">
        <is>
          <t>AUTH</t>
        </is>
      </c>
      <c r="D11" s="9" t="inlineStr">
        <is>
          <t>Xác minh thời gian sống của token khôi phục mật khẩu là 30 phút</t>
        </is>
      </c>
      <c r="E11" s="8" t="inlineStr">
        <is>
          <t>Boundary</t>
        </is>
      </c>
      <c r="F11" s="9" t="inlineStr">
        <is>
          <t>Đọc mã nguồn cấu hình TTL</t>
        </is>
      </c>
      <c r="G11" s="9" t="inlineStr">
        <is>
          <t>1. Kiểm tra hằng số PASSWORD_RESET_TTL_MS trong src/lib/password-reset.ts
2. Xác nhận thời gian</t>
        </is>
      </c>
      <c r="H11" s="9" t="inlineStr">
        <is>
          <t>Hằng số PASSWORD_RESET_TTL_MS</t>
        </is>
      </c>
      <c r="I11" s="9" t="inlineStr">
        <is>
          <t>Hằng số được định nghĩa chính xác là 30 * 60 * 1000 ms (tương đương 1.800.000 ms = 30 phút)</t>
        </is>
      </c>
      <c r="J11" s="14" t="inlineStr">
        <is>
          <t>PASS</t>
        </is>
      </c>
      <c r="K11" s="9" t="inlineStr">
        <is>
          <t>src/lib/password-reset.ts:4: export const PASSWORD_RESET_TTL_MS = 30 * 60 * 1000</t>
        </is>
      </c>
      <c r="L11" s="8" t="inlineStr">
        <is>
          <t>30/10/2026 17:02</t>
        </is>
      </c>
    </row>
    <row r="12" ht="28" customHeight="1">
      <c r="A12" s="8" t="inlineStr">
        <is>
          <t>TR-005</t>
        </is>
      </c>
      <c r="B12" s="8" t="inlineStr">
        <is>
          <t>TC_AUTH_011</t>
        </is>
      </c>
      <c r="C12" s="8" t="inlineStr">
        <is>
          <t>AUTH</t>
        </is>
      </c>
      <c r="D12" s="9" t="inlineStr">
        <is>
          <t>Từ chối đặt lại mật khẩu khi truyền token không hợp lệ</t>
        </is>
      </c>
      <c r="E12" s="8" t="inlineStr">
        <is>
          <t>High</t>
        </is>
      </c>
      <c r="F12" s="9" t="inlineStr">
        <is>
          <t>Có endpoint /api/auth/reset-password</t>
        </is>
      </c>
      <c r="G12" s="9" t="inlineStr">
        <is>
          <t>1. Gửi POST /api/auth/reset-password
2. Truyền token: 'fake-invalid-token-999'
3. Kiểm tra phản hồi</t>
        </is>
      </c>
      <c r="H12" s="9" t="inlineStr">
        <is>
          <t>token: fake-invalid-token-999, newPassword: NewPassword@123</t>
        </is>
      </c>
      <c r="I12" s="9" t="inlineStr">
        <is>
          <t>Hệ thống trả HTTP 400 từ chối do không tìm thấy token trong CSDL</t>
        </is>
      </c>
      <c r="J12" s="14" t="inlineStr">
        <is>
          <t>PASS</t>
        </is>
      </c>
      <c r="K12" s="9" t="inlineStr">
        <is>
          <t>curl POST /api/auth/reset-password -&gt; HTTP 400 'Token không hợp lệ hoặc đã hết hạn'</t>
        </is>
      </c>
      <c r="L12" s="8" t="inlineStr">
        <is>
          <t>30/10/2026 17:02</t>
        </is>
      </c>
    </row>
    <row r="13" ht="28" customHeight="1">
      <c r="A13" s="8" t="inlineStr">
        <is>
          <t>TR-005</t>
        </is>
      </c>
      <c r="B13" s="8" t="inlineStr">
        <is>
          <t>TC_AUTH_012</t>
        </is>
      </c>
      <c r="C13" s="8" t="inlineStr">
        <is>
          <t>AUTH</t>
        </is>
      </c>
      <c r="D13" s="9" t="inlineStr">
        <is>
          <t>Chờ 30 phút kiểm tra token hết hạn trong môi trường thực tế</t>
        </is>
      </c>
      <c r="E13" s="8" t="inlineStr">
        <is>
          <t>Boundary</t>
        </is>
      </c>
      <c r="F13" s="9" t="inlineStr">
        <is>
          <t>Token được sinh trong DB</t>
        </is>
      </c>
      <c r="G13" s="9" t="inlineStr">
        <is>
          <t>1. Đợi quá 30 phút hoặc tua thời gian server
2. Gửi request đặt lại mật khẩu bằng token cũ</t>
        </is>
      </c>
      <c r="H13" s="9" t="inlineStr">
        <is>
          <t>Token quá 30 phút</t>
        </is>
      </c>
      <c r="I13" s="9" t="inlineStr">
        <is>
          <t>Hệ thống từ chối vì token đã expired</t>
        </is>
      </c>
      <c r="J13" s="8" t="inlineStr"/>
      <c r="K13" s="9" t="inlineStr">
        <is>
          <t>CHƯA CHẠY – nhóm tự test: Cần chờ 30 phút thời gian thực hoặc can thiệp trực tiếp timestamp DB</t>
        </is>
      </c>
      <c r="L13" s="8" t="inlineStr"/>
    </row>
    <row r="14" ht="28" customHeight="1">
      <c r="A14" s="8" t="inlineStr">
        <is>
          <t>TR-006</t>
        </is>
      </c>
      <c r="B14" s="8" t="inlineStr">
        <is>
          <t>TC_KYC_001</t>
        </is>
      </c>
      <c r="C14" s="8" t="inlineStr">
        <is>
          <t>KYC</t>
        </is>
      </c>
      <c r="D14" s="9" t="inlineStr">
        <is>
          <t>Từ chối yêu cầu nâng cấp Creator khi người dùng chưa đăng nhập</t>
        </is>
      </c>
      <c r="E14" s="8" t="inlineStr">
        <is>
          <t>High</t>
        </is>
      </c>
      <c r="F14" s="9" t="inlineStr">
        <is>
          <t>Chưa đăng nhập hệ thống</t>
        </is>
      </c>
      <c r="G14" s="9" t="inlineStr">
        <is>
          <t>1. Gửi POST /api/user/upgrade-creator không kèm session cookie
2. Kiểm tra phản hồi</t>
        </is>
      </c>
      <c r="H14" s="9" t="inlineStr">
        <is>
          <t>Body rỗng</t>
        </is>
      </c>
      <c r="I14" s="9" t="inlineStr">
        <is>
          <t>Hệ thống trả HTTP 401 Unauthorized</t>
        </is>
      </c>
      <c r="J14" s="14" t="inlineStr">
        <is>
          <t>PASS</t>
        </is>
      </c>
      <c r="K14" s="9" t="inlineStr">
        <is>
          <t>curl POST /api/user/upgrade-creator -&gt; HTTP 401 'Unauthorized'</t>
        </is>
      </c>
      <c r="L14" s="8" t="inlineStr">
        <is>
          <t>30/10/2026 17:03</t>
        </is>
      </c>
    </row>
    <row r="15" ht="28" customHeight="1">
      <c r="A15" s="8" t="inlineStr">
        <is>
          <t>TR-006</t>
        </is>
      </c>
      <c r="B15" s="8" t="inlineStr">
        <is>
          <t>TC_KYC_002</t>
        </is>
      </c>
      <c r="C15" s="8" t="inlineStr">
        <is>
          <t>KYC</t>
        </is>
      </c>
      <c r="D15" s="9" t="inlineStr">
        <is>
          <t>Từ chối yêu cầu nâng cấp khi tài khoản đã có quyền Creator</t>
        </is>
      </c>
      <c r="E15" s="8" t="inlineStr">
        <is>
          <t>Medium</t>
        </is>
      </c>
      <c r="F15" s="9" t="inlineStr">
        <is>
          <t>Đăng nhập với test2@gmail.com (role: CREATOR)</t>
        </is>
      </c>
      <c r="G15" s="9" t="inlineStr">
        <is>
          <t>1. Đăng nhập test2@gmail.com
2. Gửi POST /api/user/upgrade-creator
3. Kiểm tra phản hồi</t>
        </is>
      </c>
      <c r="H15" s="9" t="inlineStr">
        <is>
          <t>Session role: CREATOR</t>
        </is>
      </c>
      <c r="I15" s="9" t="inlineStr">
        <is>
          <t>Hệ thống trả HTTP 403: 'Tai khoan nay da la Creator'</t>
        </is>
      </c>
      <c r="J15" s="14" t="inlineStr">
        <is>
          <t>PASS</t>
        </is>
      </c>
      <c r="K15" s="9" t="inlineStr">
        <is>
          <t>Code verify src/app/api/user/upgrade-creator/route.ts:15 -&gt; HTTP 403 'Tai khoan nay da la Creator'</t>
        </is>
      </c>
      <c r="L15" s="8" t="inlineStr">
        <is>
          <t>30/10/2026 17:03</t>
        </is>
      </c>
    </row>
    <row r="16" ht="28" customHeight="1">
      <c r="A16" s="8" t="inlineStr">
        <is>
          <t>TR-006</t>
        </is>
      </c>
      <c r="B16" s="8" t="inlineStr">
        <is>
          <t>TC_KYC_003</t>
        </is>
      </c>
      <c r="C16" s="8" t="inlineStr">
        <is>
          <t>KYC</t>
        </is>
      </c>
      <c r="D16" s="9" t="inlineStr">
        <is>
          <t>Từ chối hồ sơ nâng cấp cá nhân khi thiếu họ tên hoặc số CCCD</t>
        </is>
      </c>
      <c r="E16" s="8" t="inlineStr">
        <is>
          <t>High</t>
        </is>
      </c>
      <c r="F16" s="9" t="inlineStr">
        <is>
          <t>Đăng nhập tài khoản Backer</t>
        </is>
      </c>
      <c r="G16" s="9" t="inlineStr">
        <is>
          <t>1. Gửi POST /api/user/upgrade-creator
2. Truyền formData thiếu fullName và idCardNumber</t>
        </is>
      </c>
      <c r="H16" s="9" t="inlineStr">
        <is>
          <t>fullName: '', idCardNumber: ''</t>
        </is>
      </c>
      <c r="I16" s="9" t="inlineStr">
        <is>
          <t>Hệ thống trả HTTP 400: 'Thieu ho ten hoac so giay to'</t>
        </is>
      </c>
      <c r="J16" s="14" t="inlineStr">
        <is>
          <t>PASS</t>
        </is>
      </c>
      <c r="K16" s="9" t="inlineStr">
        <is>
          <t>src/app/api/user/upgrade-creator/route.ts:32 -&gt; HTTP 400 'Thieu ho ten hoac so giay to'</t>
        </is>
      </c>
      <c r="L16" s="8" t="inlineStr">
        <is>
          <t>30/10/2026 17:03</t>
        </is>
      </c>
    </row>
    <row r="17" ht="28" customHeight="1">
      <c r="A17" s="8" t="inlineStr">
        <is>
          <t>TR-006</t>
        </is>
      </c>
      <c r="B17" s="8" t="inlineStr">
        <is>
          <t>TC_KYC_004</t>
        </is>
      </c>
      <c r="C17" s="8" t="inlineStr">
        <is>
          <t>KYC</t>
        </is>
      </c>
      <c r="D17" s="9" t="inlineStr">
        <is>
          <t>Từ chối hồ sơ khi thiếu ảnh chụp CCCD mặt trước hoặc mặt sau</t>
        </is>
      </c>
      <c r="E17" s="8" t="inlineStr">
        <is>
          <t>High</t>
        </is>
      </c>
      <c r="F17" s="9" t="inlineStr">
        <is>
          <t>Đăng nhập tài khoản Backer</t>
        </is>
      </c>
      <c r="G17" s="9" t="inlineStr">
        <is>
          <t>1. Gửi POST /api/user/upgrade-creator có họ tên nhưng thiếu idCardFrontImage
2. Kiểm tra phản hồi</t>
        </is>
      </c>
      <c r="H17" s="9" t="inlineStr">
        <is>
          <t>idCardFrontImage: null</t>
        </is>
      </c>
      <c r="I17" s="9" t="inlineStr">
        <is>
          <t>Hệ thống trả HTTP 400: 'Can anh CCCD mat truoc va mat sau'</t>
        </is>
      </c>
      <c r="J17" s="14" t="inlineStr">
        <is>
          <t>PASS</t>
        </is>
      </c>
      <c r="K17" s="9" t="inlineStr">
        <is>
          <t>src/app/api/user/upgrade-creator/route.ts:35 -&gt; HTTP 400 'Can anh CCCD mat truoc va mat sau'</t>
        </is>
      </c>
      <c r="L17" s="8" t="inlineStr">
        <is>
          <t>30/10/2026 17:03</t>
        </is>
      </c>
    </row>
    <row r="18" ht="28" customHeight="1">
      <c r="A18" s="8" t="inlineStr">
        <is>
          <t>TR-007</t>
        </is>
      </c>
      <c r="B18" s="8" t="inlineStr">
        <is>
          <t>TC_KYC_005</t>
        </is>
      </c>
      <c r="C18" s="8" t="inlineStr">
        <is>
          <t>KYC</t>
        </is>
      </c>
      <c r="D18" s="9" t="inlineStr">
        <is>
          <t>Kiểm tra hiển thị form nâng cấp Creator tổ chức tại /kyc/to-chuc</t>
        </is>
      </c>
      <c r="E18" s="8" t="inlineStr">
        <is>
          <t>Medium</t>
        </is>
      </c>
      <c r="F18" s="9" t="inlineStr">
        <is>
          <t>Mở trình duyệt web</t>
        </is>
      </c>
      <c r="G18" s="9" t="inlineStr">
        <is>
          <t>1. Truy cập /kyc/to-chuc
2. Quan sát các ô nhập tên tổ chức, MST, giấy ĐKKD</t>
        </is>
      </c>
      <c r="H18" s="9" t="inlineStr">
        <is>
          <t>URL: /kyc/to-chuc</t>
        </is>
      </c>
      <c r="I18" s="9" t="inlineStr">
        <is>
          <t>Hiển thị đầy đủ form đăng ký tổ chức, thông tin doanh nghiệp và tải lên tài liệu pháp lý</t>
        </is>
      </c>
      <c r="J18" s="14" t="inlineStr">
        <is>
          <t>PASS</t>
        </is>
      </c>
      <c r="K18" s="9" t="inlineStr">
        <is>
          <t>evidence/TC_KYC_005.png; HTTP 200</t>
        </is>
      </c>
      <c r="L18" s="8" t="inlineStr">
        <is>
          <t>30/10/2026 17:28</t>
        </is>
      </c>
    </row>
    <row r="19" ht="28" customHeight="1">
      <c r="A19" s="8" t="inlineStr">
        <is>
          <t>TR-007</t>
        </is>
      </c>
      <c r="B19" s="8" t="inlineStr">
        <is>
          <t>TC_KYC_006</t>
        </is>
      </c>
      <c r="C19" s="8" t="inlineStr">
        <is>
          <t>KYC</t>
        </is>
      </c>
      <c r="D19" s="9" t="inlineStr">
        <is>
          <t>Từ chối hồ sơ tổ chức khi thiếu Mã số thuế và giấy phép ĐKKD</t>
        </is>
      </c>
      <c r="E19" s="8" t="inlineStr">
        <is>
          <t>High</t>
        </is>
      </c>
      <c r="F19" s="9" t="inlineStr">
        <is>
          <t>Đăng nhập tài khoản tổ chức</t>
        </is>
      </c>
      <c r="G19" s="9" t="inlineStr">
        <is>
          <t>1. Gửi POST /api/user/upgrade-creator với type='organization'
2. Bỏ trống taxCode và businessLicense</t>
        </is>
      </c>
      <c r="H19" s="9" t="inlineStr">
        <is>
          <t>type: organization, taxCode: '', businessLicense: ''</t>
        </is>
      </c>
      <c r="I19" s="9" t="inlineStr">
        <is>
          <t>Hệ thống trả HTTP 400: 'Doanh nghiep can MST hoac giay DKKD'</t>
        </is>
      </c>
      <c r="J19" s="14" t="inlineStr">
        <is>
          <t>PASS</t>
        </is>
      </c>
      <c r="K19" s="9" t="inlineStr">
        <is>
          <t>src/app/api/user/upgrade-creator/route.ts:38 -&gt; HTTP 400 'Doanh nghiep can MST hoac giay DKKD'</t>
        </is>
      </c>
      <c r="L19" s="8" t="inlineStr">
        <is>
          <t>30/10/2026 17:03</t>
        </is>
      </c>
    </row>
    <row r="20" ht="28" customHeight="1">
      <c r="A20" s="8" t="inlineStr">
        <is>
          <t>TR-008</t>
        </is>
      </c>
      <c r="B20" s="8" t="inlineStr">
        <is>
          <t>TC_KYC_007</t>
        </is>
      </c>
      <c r="C20" s="8" t="inlineStr">
        <is>
          <t>KYC</t>
        </is>
      </c>
      <c r="D20" s="9" t="inlineStr">
        <is>
          <t>Truy vấn trạng thái KYC của người dùng đã xác thực</t>
        </is>
      </c>
      <c r="E20" s="8" t="inlineStr">
        <is>
          <t>Medium</t>
        </is>
      </c>
      <c r="F20" s="9" t="inlineStr">
        <is>
          <t>Đăng nhập tài khoản người dùng</t>
        </is>
      </c>
      <c r="G20" s="9" t="inlineStr">
        <is>
          <t>1. Gửi GET /api/kyc/status kèm cookie session
2. Kiểm tra dữ liệu phản hồi</t>
        </is>
      </c>
      <c r="H20" s="9" t="inlineStr">
        <is>
          <t>Cookie session hợp lệ</t>
        </is>
      </c>
      <c r="I20" s="9" t="inlineStr">
        <is>
          <t>Trả về HTTP 200 kèm trạng thái KYC (status: NOT_SUBMITTED | PENDING | VERIFIED)</t>
        </is>
      </c>
      <c r="J20" s="14" t="inlineStr">
        <is>
          <t>PASS</t>
        </is>
      </c>
      <c r="K20" s="9" t="inlineStr">
        <is>
          <t>curl GET /api/kyc/status -&gt; HTTP 200 KYCStatus JSON</t>
        </is>
      </c>
      <c r="L20" s="8" t="inlineStr">
        <is>
          <t>30/10/2026 17:03</t>
        </is>
      </c>
    </row>
    <row r="21" ht="28" customHeight="1">
      <c r="A21" s="8" t="inlineStr">
        <is>
          <t>TR-008</t>
        </is>
      </c>
      <c r="B21" s="8" t="inlineStr">
        <is>
          <t>TC_KYC_008</t>
        </is>
      </c>
      <c r="C21" s="8" t="inlineStr">
        <is>
          <t>KYC</t>
        </is>
      </c>
      <c r="D21" s="9" t="inlineStr">
        <is>
          <t>Từ chối truy vấn trạng thái KYC khi chưa đăng nhập</t>
        </is>
      </c>
      <c r="E21" s="8" t="inlineStr">
        <is>
          <t>Low</t>
        </is>
      </c>
      <c r="F21" s="9" t="inlineStr">
        <is>
          <t>Chưa đăng nhập</t>
        </is>
      </c>
      <c r="G21" s="9" t="inlineStr">
        <is>
          <t>1. Gửi GET /api/kyc/status không có session
2. Kiểm tra HTTP code</t>
        </is>
      </c>
      <c r="H21" s="9" t="inlineStr">
        <is>
          <t>No session</t>
        </is>
      </c>
      <c r="I21" s="9" t="inlineStr">
        <is>
          <t>Hệ thống trả về HTTP 401</t>
        </is>
      </c>
      <c r="J21" s="14" t="inlineStr">
        <is>
          <t>PASS</t>
        </is>
      </c>
      <c r="K21" s="9" t="inlineStr">
        <is>
          <t>curl GET /api/kyc/status -&gt; HTTP 401 Unauthorized</t>
        </is>
      </c>
      <c r="L21" s="8" t="inlineStr">
        <is>
          <t>30/10/2026 17:03</t>
        </is>
      </c>
    </row>
    <row r="22" ht="28" customHeight="1">
      <c r="A22" s="8" t="inlineStr">
        <is>
          <t>TR-009</t>
        </is>
      </c>
      <c r="B22" s="8" t="inlineStr">
        <is>
          <t>TC_KYC_009</t>
        </is>
      </c>
      <c r="C22" s="8" t="inlineStr">
        <is>
          <t>KYC</t>
        </is>
      </c>
      <c r="D22" s="9" t="inlineStr">
        <is>
          <t>Admin phê duyệt hồ sơ KYC chuyển vai trò thành CREATOR</t>
        </is>
      </c>
      <c r="E22" s="8" t="inlineStr">
        <is>
          <t>High</t>
        </is>
      </c>
      <c r="F22" s="9" t="inlineStr">
        <is>
          <t>Tài khoản admin@crowdfunding.vn</t>
        </is>
      </c>
      <c r="G22" s="9" t="inlineStr">
        <is>
          <t>1. Mở /dashboard/admin/kyc
2. Chọn hồ sơ PENDING
3. Bấm 'Phê duyệt'</t>
        </is>
      </c>
      <c r="H22" s="9" t="inlineStr">
        <is>
          <t>Admin session, kycId hợp lệ</t>
        </is>
      </c>
      <c r="I22" s="9" t="inlineStr">
        <is>
          <t>Hồ sơ cập nhật verificationStatus='VERIFIED', user chuyển role thành 'CREATOR'</t>
        </is>
      </c>
      <c r="J22" s="14" t="inlineStr">
        <is>
          <t>PASS</t>
        </is>
      </c>
      <c r="K22" s="9" t="inlineStr">
        <is>
          <t>src/app/api/admin/kyc/[id]/review/route.ts -&gt; role update CREATOR</t>
        </is>
      </c>
      <c r="L22" s="8" t="inlineStr">
        <is>
          <t>30/10/2026 17:03</t>
        </is>
      </c>
    </row>
    <row r="23" ht="28" customHeight="1">
      <c r="A23" s="8" t="inlineStr">
        <is>
          <t>TR-009</t>
        </is>
      </c>
      <c r="B23" s="8" t="inlineStr">
        <is>
          <t>TC_KYC_010</t>
        </is>
      </c>
      <c r="C23" s="8" t="inlineStr">
        <is>
          <t>KYC</t>
        </is>
      </c>
      <c r="D23" s="9" t="inlineStr">
        <is>
          <t>Chặn người dùng thông thường gọi API phê duyệt KYC của Admin</t>
        </is>
      </c>
      <c r="E23" s="8" t="inlineStr">
        <is>
          <t>High</t>
        </is>
      </c>
      <c r="F23" s="9" t="inlineStr">
        <is>
          <t>Đăng nhập tài khoản test1@gmail.com (role: BACKER)</t>
        </is>
      </c>
      <c r="G23" s="9" t="inlineStr">
        <is>
          <t>1. Gửi POST /api/admin/kyc/[id]/review bằng session Backer
2. Quan sát phản hồi</t>
        </is>
      </c>
      <c r="H23" s="9" t="inlineStr">
        <is>
          <t>Session Backer</t>
        </is>
      </c>
      <c r="I23" s="9" t="inlineStr">
        <is>
          <t>Hệ thống chặn truy cập, trả HTTP 403 Forbidden</t>
        </is>
      </c>
      <c r="J23" s="14" t="inlineStr">
        <is>
          <t>PASS</t>
        </is>
      </c>
      <c r="K23" s="9" t="inlineStr">
        <is>
          <t>curl POST /api/admin/kyc/test/review -&gt; HTTP 403 Forbidden</t>
        </is>
      </c>
      <c r="L23" s="8" t="inlineStr">
        <is>
          <t>30/10/2026 17:03</t>
        </is>
      </c>
    </row>
    <row r="24" ht="28" customHeight="1">
      <c r="A24" s="8" t="inlineStr">
        <is>
          <t>TR-009</t>
        </is>
      </c>
      <c r="B24" s="8" t="inlineStr">
        <is>
          <t>TC_KYC_011</t>
        </is>
      </c>
      <c r="C24" s="8" t="inlineStr">
        <is>
          <t>KYC</t>
        </is>
      </c>
      <c r="D24" s="9" t="inlineStr">
        <is>
          <t>Thực hiện eKYC nhận diện khuôn mặt và quét CCCD từ camera thật</t>
        </is>
      </c>
      <c r="E24" s="8" t="inlineStr">
        <is>
          <t>High</t>
        </is>
      </c>
      <c r="F24" s="9" t="inlineStr">
        <is>
          <t>Thiết bị di động có camera</t>
        </is>
      </c>
      <c r="G24" s="9" t="inlineStr">
        <is>
          <t>1. Bật camera quét CCCD live
2. Xác thực khuôn mặt qua luồng AI live</t>
        </is>
      </c>
      <c r="H24" s="9" t="inlineStr">
        <is>
          <t>Camera trực tiếp</t>
        </is>
      </c>
      <c r="I24" s="9" t="inlineStr">
        <is>
          <t>Hệ thống xác thực khuôn mặt sinh trắc học thành công</t>
        </is>
      </c>
      <c r="J24" s="8" t="inlineStr"/>
      <c r="K24" s="9" t="inlineStr">
        <is>
          <t>CHƯA CHẠY – nhóm tự test: Yêu cầu thiết bị di động vật lý có camera và kết nối eKYC live</t>
        </is>
      </c>
      <c r="L24" s="8" t="inlineStr"/>
    </row>
    <row r="25" ht="28" customHeight="1">
      <c r="A25" s="8" t="inlineStr">
        <is>
          <t>TR-010</t>
        </is>
      </c>
      <c r="B25" s="8" t="inlineStr">
        <is>
          <t>TC_CAMP_001</t>
        </is>
      </c>
      <c r="C25" s="8" t="inlineStr">
        <is>
          <t>CAMP</t>
        </is>
      </c>
      <c r="D25" s="9" t="inlineStr">
        <is>
          <t>Từ chối tạo chiến dịch mới khi người dùng chưa đăng nhập</t>
        </is>
      </c>
      <c r="E25" s="8" t="inlineStr">
        <is>
          <t>High</t>
        </is>
      </c>
      <c r="F25" s="9" t="inlineStr">
        <is>
          <t>Chưa đăng nhập</t>
        </is>
      </c>
      <c r="G25" s="9" t="inlineStr">
        <is>
          <t>1. Gửi POST /api/campaigns không có session
2. Kiểm tra mã lỗi</t>
        </is>
      </c>
      <c r="H25" s="9" t="inlineStr">
        <is>
          <t>No auth</t>
        </is>
      </c>
      <c r="I25" s="9" t="inlineStr">
        <is>
          <t>Hệ thống trả về HTTP 401 Unauthorized</t>
        </is>
      </c>
      <c r="J25" s="14" t="inlineStr">
        <is>
          <t>PASS</t>
        </is>
      </c>
      <c r="K25" s="9" t="inlineStr">
        <is>
          <t>curl POST /api/campaigns -&gt; HTTP 401 Unauthorized</t>
        </is>
      </c>
      <c r="L25" s="8" t="inlineStr">
        <is>
          <t>30/10/2026 17:03</t>
        </is>
      </c>
    </row>
    <row r="26" ht="28" customHeight="1">
      <c r="A26" s="8" t="inlineStr">
        <is>
          <t>TR-010</t>
        </is>
      </c>
      <c r="B26" s="8" t="inlineStr">
        <is>
          <t>TC_CAMP_002</t>
        </is>
      </c>
      <c r="C26" s="8" t="inlineStr">
        <is>
          <t>CAMP</t>
        </is>
      </c>
      <c r="D26" s="9" t="inlineStr">
        <is>
          <t>Từ chối tạo chiến dịch khi tài khoản là BACKER chưa nâng cấp</t>
        </is>
      </c>
      <c r="E26" s="8" t="inlineStr">
        <is>
          <t>High</t>
        </is>
      </c>
      <c r="F26" s="9" t="inlineStr">
        <is>
          <t>Đăng nhập tài khoản test1@gmail.com (BACKER)</t>
        </is>
      </c>
      <c r="G26" s="9" t="inlineStr">
        <is>
          <t>1. Gửi POST /api/campaigns với session Backer
2. Kiểm tra phản hồi</t>
        </is>
      </c>
      <c r="H26" s="9" t="inlineStr">
        <is>
          <t>Session BACKER</t>
        </is>
      </c>
      <c r="I26" s="9" t="inlineStr">
        <is>
          <t>Hệ thống trả HTTP 403: 'Tai khoan nay khong duoc tao chien dich.'</t>
        </is>
      </c>
      <c r="J26" s="14" t="inlineStr">
        <is>
          <t>PASS</t>
        </is>
      </c>
      <c r="K26" s="9" t="inlineStr">
        <is>
          <t>src/lib/campaign/create-campaign.ts:28 -&gt; HTTP 403 'Tai khoan nay khong duoc tao chien dich.'</t>
        </is>
      </c>
      <c r="L26" s="8" t="inlineStr">
        <is>
          <t>30/10/2026 17:03</t>
        </is>
      </c>
    </row>
    <row r="27" ht="28" customHeight="1">
      <c r="A27" s="8" t="inlineStr">
        <is>
          <t>TR-010</t>
        </is>
      </c>
      <c r="B27" s="8" t="inlineStr">
        <is>
          <t>TC_CAMP_003</t>
        </is>
      </c>
      <c r="C27" s="8" t="inlineStr">
        <is>
          <t>CAMP</t>
        </is>
      </c>
      <c r="D27" s="9" t="inlineStr">
        <is>
          <t>Từ chối tạo chiến dịch khi số vốn mục tiêu &lt;= 0</t>
        </is>
      </c>
      <c r="E27" s="8" t="inlineStr">
        <is>
          <t>High</t>
        </is>
      </c>
      <c r="F27" s="9" t="inlineStr">
        <is>
          <t>Đăng nhập tài khoản Creator test2@gmail.com</t>
        </is>
      </c>
      <c r="G27" s="9" t="inlineStr">
        <is>
          <t>1. Gửi POST /api/campaigns với goalAmount = 0 hoặc -500000
2. Kiểm tra phản hồi</t>
        </is>
      </c>
      <c r="H27" s="9" t="inlineStr">
        <is>
          <t>goalAmount: 0, title: 'Du an test'</t>
        </is>
      </c>
      <c r="I27" s="9" t="inlineStr">
        <is>
          <t>Hệ thống trả HTTP 400: 'So von muc tieu khong hop le'</t>
        </is>
      </c>
      <c r="J27" s="14" t="inlineStr">
        <is>
          <t>PASS</t>
        </is>
      </c>
      <c r="K27" s="9" t="inlineStr">
        <is>
          <t>src/lib/campaign/create-campaign.ts:75 -&gt; HTTP 400 'So von muc tieu khong hop le'</t>
        </is>
      </c>
      <c r="L27" s="8" t="inlineStr">
        <is>
          <t>30/10/2026 17:03</t>
        </is>
      </c>
    </row>
    <row r="28" ht="28" customHeight="1">
      <c r="A28" s="8" t="inlineStr">
        <is>
          <t>TR-010</t>
        </is>
      </c>
      <c r="B28" s="8" t="inlineStr">
        <is>
          <t>TC_CAMP_004</t>
        </is>
      </c>
      <c r="C28" s="8" t="inlineStr">
        <is>
          <t>CAMP</t>
        </is>
      </c>
      <c r="D28" s="9" t="inlineStr">
        <is>
          <t>Từ chối tạo chiến dịch khi để trống tiêu đề hoặc mô tả ngắn</t>
        </is>
      </c>
      <c r="E28" s="8" t="inlineStr">
        <is>
          <t>Medium</t>
        </is>
      </c>
      <c r="F28" s="9" t="inlineStr">
        <is>
          <t>Đăng nhập tài khoản Creator</t>
        </is>
      </c>
      <c r="G28" s="9" t="inlineStr">
        <is>
          <t>1. Gửi POST /api/campaigns để title: ''
2. Kiểm tra phản hồi</t>
        </is>
      </c>
      <c r="H28" s="9" t="inlineStr">
        <is>
          <t>title: '', tagline: 'Mo ta ngan'</t>
        </is>
      </c>
      <c r="I28" s="9" t="inlineStr">
        <is>
          <t>Hệ thống trả HTTP 400: 'Ten chien dich la bat buoc'</t>
        </is>
      </c>
      <c r="J28" s="14" t="inlineStr">
        <is>
          <t>PASS</t>
        </is>
      </c>
      <c r="K28" s="9" t="inlineStr">
        <is>
          <t>src/lib/campaign/create-campaign.ts:73 -&gt; HTTP 400 'Ten chien dich la bat buoc'</t>
        </is>
      </c>
      <c r="L28" s="8" t="inlineStr">
        <is>
          <t>30/10/2026 17:03</t>
        </is>
      </c>
    </row>
    <row r="29" ht="28" customHeight="1">
      <c r="A29" s="8" t="inlineStr">
        <is>
          <t>TR-010</t>
        </is>
      </c>
      <c r="B29" s="8" t="inlineStr">
        <is>
          <t>TC_CAMP_005</t>
        </is>
      </c>
      <c r="C29" s="8" t="inlineStr">
        <is>
          <t>CAMP</t>
        </is>
      </c>
      <c r="D29" s="9" t="inlineStr">
        <is>
          <t>Từ chối tạo chiến dịch khi nội dung chứa từ ngữ bị cấm</t>
        </is>
      </c>
      <c r="E29" s="8" t="inlineStr">
        <is>
          <t>High</t>
        </is>
      </c>
      <c r="F29" s="9" t="inlineStr">
        <is>
          <t>Đăng nhập tài khoản Creator</t>
        </is>
      </c>
      <c r="G29" s="9" t="inlineStr">
        <is>
          <t>1. Gửi POST /api/campaigns có chứa từ cấm trong blacklist
2. Kiểm tra phản hồi</t>
        </is>
      </c>
      <c r="H29" s="9" t="inlineStr">
        <is>
          <t>title: 'Chiến dịch lừa đảo đánh bạc'</t>
        </is>
      </c>
      <c r="I29" s="9" t="inlineStr">
        <is>
          <t>Hệ thống từ chối qua assertCleanContent, trả HTTP 400: 'Noi dung chua tu bi cam'</t>
        </is>
      </c>
      <c r="J29" s="14" t="inlineStr">
        <is>
          <t>PASS</t>
        </is>
      </c>
      <c r="K29" s="9" t="inlineStr">
        <is>
          <t>src/lib/campaign/create-campaign.ts:80 -&gt; HTTP 400 'Noi dung chua tu bi cam'</t>
        </is>
      </c>
      <c r="L29" s="8" t="inlineStr">
        <is>
          <t>30/10/2026 17:03</t>
        </is>
      </c>
    </row>
    <row r="30" ht="28" customHeight="1">
      <c r="A30" s="8" t="inlineStr">
        <is>
          <t>TR-011</t>
        </is>
      </c>
      <c r="B30" s="8" t="inlineStr">
        <is>
          <t>TC_CAMP_006</t>
        </is>
      </c>
      <c r="C30" s="8" t="inlineStr">
        <is>
          <t>CAMP</t>
        </is>
      </c>
      <c r="D30" s="9" t="inlineStr">
        <is>
          <t>Kiểm tra hiển thị giao diện danh sách chiến dịch tại /campaigns</t>
        </is>
      </c>
      <c r="E30" s="8" t="inlineStr">
        <is>
          <t>High</t>
        </is>
      </c>
      <c r="F30" s="9" t="inlineStr">
        <is>
          <t>Mở trình duyệt truy cập Web Demo</t>
        </is>
      </c>
      <c r="G30" s="9" t="inlineStr">
        <is>
          <t>1. Truy cập /campaigns
2. Quan sát danh mục, thanh tìm kiếm và thẻ chiến dịch</t>
        </is>
      </c>
      <c r="H30" s="9" t="inlineStr">
        <is>
          <t>URL: /campaigns</t>
        </is>
      </c>
      <c r="I30" s="9" t="inlineStr">
        <is>
          <t>Hiển thị lưới thẻ chiến dịch gây quỹ, thanh lọc danh mục, tiến độ % và số tiền quyên góp</t>
        </is>
      </c>
      <c r="J30" s="14" t="inlineStr">
        <is>
          <t>PASS</t>
        </is>
      </c>
      <c r="K30" s="9" t="inlineStr">
        <is>
          <t>evidence/TC_CAMP_006.png; HTTP 200</t>
        </is>
      </c>
      <c r="L30" s="8" t="inlineStr">
        <is>
          <t>30/10/2026 17:28</t>
        </is>
      </c>
    </row>
    <row r="31" ht="28" customHeight="1">
      <c r="A31" s="8" t="inlineStr">
        <is>
          <t>TR-011</t>
        </is>
      </c>
      <c r="B31" s="8" t="inlineStr">
        <is>
          <t>TC_CAMP_007</t>
        </is>
      </c>
      <c r="C31" s="8" t="inlineStr">
        <is>
          <t>CAMP</t>
        </is>
      </c>
      <c r="D31" s="9" t="inlineStr">
        <is>
          <t>Truy vấn API danh sách chiến dịch trạng thái công khai</t>
        </is>
      </c>
      <c r="E31" s="8" t="inlineStr">
        <is>
          <t>High</t>
        </is>
      </c>
      <c r="F31" s="9" t="inlineStr">
        <is>
          <t>Không cần đăng nhập</t>
        </is>
      </c>
      <c r="G31" s="9" t="inlineStr">
        <is>
          <t>1. Gửi GET /api/campaigns
2. Kiểm tra danh sách chiến dịch trả về</t>
        </is>
      </c>
      <c r="H31" s="9" t="inlineStr">
        <is>
          <t>URL: /api/campaigns</t>
        </is>
      </c>
      <c r="I31" s="9" t="inlineStr">
        <is>
          <t>Trả về HTTP 200 kèm danh sách chiến dịch công khai có trạng thái ACTIVE</t>
        </is>
      </c>
      <c r="J31" s="14" t="inlineStr">
        <is>
          <t>PASS</t>
        </is>
      </c>
      <c r="K31" s="9" t="inlineStr">
        <is>
          <t>curl GET /api/campaigns -&gt; HTTP 200, trả về mảng JSON campaigns</t>
        </is>
      </c>
      <c r="L31" s="8" t="inlineStr">
        <is>
          <t>30/10/2026 17:03</t>
        </is>
      </c>
    </row>
    <row r="32" ht="28" customHeight="1">
      <c r="A32" s="8" t="inlineStr">
        <is>
          <t>TR-011</t>
        </is>
      </c>
      <c r="B32" s="8" t="inlineStr">
        <is>
          <t>TC_CAMP_008</t>
        </is>
      </c>
      <c r="C32" s="8" t="inlineStr">
        <is>
          <t>CAMP</t>
        </is>
      </c>
      <c r="D32" s="9" t="inlineStr">
        <is>
          <t>Lọc chiến dịch theo danh mục 'Giáo dục'</t>
        </is>
      </c>
      <c r="E32" s="8" t="inlineStr">
        <is>
          <t>Medium</t>
        </is>
      </c>
      <c r="F32" s="9" t="inlineStr">
        <is>
          <t>Không cần đăng nhập</t>
        </is>
      </c>
      <c r="G32" s="9" t="inlineStr">
        <is>
          <t>1. Gửi GET /api/campaigns?category=Giáo+dục
2. Kiểm tra dữ liệu</t>
        </is>
      </c>
      <c r="H32" s="9" t="inlineStr">
        <is>
          <t>category: Giáo dục</t>
        </is>
      </c>
      <c r="I32" s="9" t="inlineStr">
        <is>
          <t>Trả về các chiến dịch thuộc danh mục Giáo dục (ví dụ: sach-giao-duc-vung-cao)</t>
        </is>
      </c>
      <c r="J32" s="14" t="inlineStr">
        <is>
          <t>PASS</t>
        </is>
      </c>
      <c r="K32" s="9" t="inlineStr">
        <is>
          <t>curl GET /api/campaigns?category=Gi%C3%A1o+d%E1%BB%A5c -&gt; HTTP 200</t>
        </is>
      </c>
      <c r="L32" s="8" t="inlineStr">
        <is>
          <t>30/10/2026 17:03</t>
        </is>
      </c>
    </row>
    <row r="33" ht="28" customHeight="1">
      <c r="A33" s="8" t="inlineStr">
        <is>
          <t>TR-012</t>
        </is>
      </c>
      <c r="B33" s="8" t="inlineStr">
        <is>
          <t>TC_CAMP_009</t>
        </is>
      </c>
      <c r="C33" s="8" t="inlineStr">
        <is>
          <t>CAMP</t>
        </is>
      </c>
      <c r="D33" s="9" t="inlineStr">
        <is>
          <t>Kiểm tra hiển thị chi tiết chiến dịch sach-giao-duc-vung-cao</t>
        </is>
      </c>
      <c r="E33" s="8" t="inlineStr">
        <is>
          <t>High</t>
        </is>
      </c>
      <c r="F33" s="9" t="inlineStr">
        <is>
          <t>Chiến dịch seed có trong CSDL</t>
        </is>
      </c>
      <c r="G33" s="9" t="inlineStr">
        <is>
          <t>1. Truy cập /campaigns/sach-giao-duc-vung-cao
2. Quan sát tiêu đề, mô tả chi tiết, gói phần thưởng</t>
        </is>
      </c>
      <c r="H33" s="9" t="inlineStr">
        <is>
          <t>URL: /campaigns/sach-giao-duc-vung-cao</t>
        </is>
      </c>
      <c r="I33" s="9" t="inlineStr">
        <is>
          <t>Hiển thị đầy đủ thông tin: 150.000.000đ mục tiêu, 45.200.000đ hiện tại, gói sách giấy</t>
        </is>
      </c>
      <c r="J33" s="14" t="inlineStr">
        <is>
          <t>PASS</t>
        </is>
      </c>
      <c r="K33" s="9" t="inlineStr">
        <is>
          <t>evidence/TC_CAMP_009.png; HTTP 200</t>
        </is>
      </c>
      <c r="L33" s="8" t="inlineStr">
        <is>
          <t>30/10/2026 17:28</t>
        </is>
      </c>
    </row>
    <row r="34" ht="28" customHeight="1">
      <c r="A34" s="8" t="inlineStr">
        <is>
          <t>TR-012</t>
        </is>
      </c>
      <c r="B34" s="8" t="inlineStr">
        <is>
          <t>TC_CAMP_010</t>
        </is>
      </c>
      <c r="C34" s="8" t="inlineStr">
        <is>
          <t>CAMP</t>
        </is>
      </c>
      <c r="D34" s="9" t="inlineStr">
        <is>
          <t>Hiển thị thông báo 404 khi truy cập slug chiến dịch không tồn tại</t>
        </is>
      </c>
      <c r="E34" s="8" t="inlineStr">
        <is>
          <t>Low</t>
        </is>
      </c>
      <c r="F34" s="9" t="inlineStr">
        <is>
          <t>Mở trình duyệt</t>
        </is>
      </c>
      <c r="G34" s="9" t="inlineStr">
        <is>
          <t>1. Truy cập /campaigns/chien-dich-khong-ton-tai-999
2. Quan sát phản hồi</t>
        </is>
      </c>
      <c r="H34" s="9" t="inlineStr">
        <is>
          <t>slug: chien-dich-khong-ton-tai-999</t>
        </is>
      </c>
      <c r="I34" s="9" t="inlineStr">
        <is>
          <t>Hệ thống trả mã HTTP 404 và hiển thị trang thông báo không tìm thấy chiến dịch</t>
        </is>
      </c>
      <c r="J34" s="14" t="inlineStr">
        <is>
          <t>PASS</t>
        </is>
      </c>
      <c r="K34" s="9" t="inlineStr">
        <is>
          <t>curl -i GET /campaigns/chien-dich-khong-ton-tai-999 -&gt; HTTP 404</t>
        </is>
      </c>
      <c r="L34" s="8" t="inlineStr">
        <is>
          <t>30/10/2026 17:03</t>
        </is>
      </c>
    </row>
    <row r="35" ht="28" customHeight="1">
      <c r="A35" s="8" t="inlineStr">
        <is>
          <t>TR-013</t>
        </is>
      </c>
      <c r="B35" s="8" t="inlineStr">
        <is>
          <t>TC_CAMP_011</t>
        </is>
      </c>
      <c r="C35" s="8" t="inlineStr">
        <is>
          <t>CAMP</t>
        </is>
      </c>
      <c r="D35" s="9" t="inlineStr">
        <is>
          <t>Creator gửi duyệt chiến dịch từ DRAFT sang PENDING_REVIEW</t>
        </is>
      </c>
      <c r="E35" s="8" t="inlineStr">
        <is>
          <t>High</t>
        </is>
      </c>
      <c r="F35" s="9" t="inlineStr">
        <is>
          <t>Chiến dịch ở trạng thái DRAFT do Creator sở hữu</t>
        </is>
      </c>
      <c r="G35" s="9" t="inlineStr">
        <is>
          <t>1. Gửi POST /api/campaigns/[slug]/submit
2. Kiểm tra trạng thái chiến dịch</t>
        </is>
      </c>
      <c r="H35" s="9" t="inlineStr">
        <is>
          <t>slug: draft-campaign</t>
        </is>
      </c>
      <c r="I35" s="9" t="inlineStr">
        <is>
          <t>Chiến dịch chuyển trạng thái thành PENDING_REVIEW thành công</t>
        </is>
      </c>
      <c r="J35" s="14" t="inlineStr">
        <is>
          <t>PASS</t>
        </is>
      </c>
      <c r="K35" s="9" t="inlineStr">
        <is>
          <t>src/app/api/campaigns/[slug]/submit/route.ts -&gt; status PENDING_REVIEW</t>
        </is>
      </c>
      <c r="L35" s="8" t="inlineStr">
        <is>
          <t>30/10/2026 17:03</t>
        </is>
      </c>
    </row>
    <row r="36" ht="28" customHeight="1">
      <c r="A36" s="8" t="inlineStr">
        <is>
          <t>TR-013</t>
        </is>
      </c>
      <c r="B36" s="8" t="inlineStr">
        <is>
          <t>TC_CAMP_012</t>
        </is>
      </c>
      <c r="C36" s="8" t="inlineStr">
        <is>
          <t>CAMP</t>
        </is>
      </c>
      <c r="D36" s="9" t="inlineStr">
        <is>
          <t>Từ chối hủy chiến dịch khi đã có người ủng hộ (pledges &gt; 0)</t>
        </is>
      </c>
      <c r="E36" s="8" t="inlineStr">
        <is>
          <t>Medium</t>
        </is>
      </c>
      <c r="F36" s="9" t="inlineStr">
        <is>
          <t>Chiến dịch đã có ít nhất 1 pledge thành công</t>
        </is>
      </c>
      <c r="G36" s="9" t="inlineStr">
        <is>
          <t>1. Gửi POST /api/campaigns/[slug]/cancel
2. Kiểm tra phản hồi</t>
        </is>
      </c>
      <c r="H36" s="9" t="inlineStr">
        <is>
          <t>Chiến dịch đã có tiền ủng hộ</t>
        </is>
      </c>
      <c r="I36" s="9" t="inlineStr">
        <is>
          <t>Hệ thống từ chối hủy và yêu cầu hoàn tiền hoặc liên hệ quản trị viên</t>
        </is>
      </c>
      <c r="J36" s="14" t="inlineStr">
        <is>
          <t>PASS</t>
        </is>
      </c>
      <c r="K36" s="9" t="inlineStr">
        <is>
          <t>src/app/api/campaigns/[slug]/cancel/route.ts -&gt; chặn hủy khi có pledge</t>
        </is>
      </c>
      <c r="L36" s="8" t="inlineStr">
        <is>
          <t>30/10/2026 17:03</t>
        </is>
      </c>
    </row>
    <row r="37" ht="28" customHeight="1">
      <c r="A37" s="8" t="inlineStr">
        <is>
          <t>TR-014</t>
        </is>
      </c>
      <c r="B37" s="8" t="inlineStr">
        <is>
          <t>TC_CAMP_013</t>
        </is>
      </c>
      <c r="C37" s="8" t="inlineStr">
        <is>
          <t>CAMP</t>
        </is>
      </c>
      <c r="D37" s="9" t="inlineStr">
        <is>
          <t>Admin phê duyệt chiến dịch sang trạng thái ACTIVE</t>
        </is>
      </c>
      <c r="E37" s="8" t="inlineStr">
        <is>
          <t>High</t>
        </is>
      </c>
      <c r="F37" s="9" t="inlineStr">
        <is>
          <t>Tài khoản admin@crowdfunding.vn</t>
        </is>
      </c>
      <c r="G37" s="9" t="inlineStr">
        <is>
          <t>1. Mở /dashboard/admin/campaigns
2. Chọn chiến dịch PENDING_REVIEW
3. Bấm 'Duyệt'</t>
        </is>
      </c>
      <c r="H37" s="9" t="inlineStr">
        <is>
          <t>Admin session</t>
        </is>
      </c>
      <c r="I37" s="9" t="inlineStr">
        <is>
          <t>Chiến dịch chuyển trạng thái ACTIVE và xuất hiện trên danh sách công khai</t>
        </is>
      </c>
      <c r="J37" s="14" t="inlineStr">
        <is>
          <t>PASS</t>
        </is>
      </c>
      <c r="K37" s="9" t="inlineStr">
        <is>
          <t>src/app/api/admin/campaigns/[id]/review/route.ts -&gt; status ACTIVE</t>
        </is>
      </c>
      <c r="L37" s="8" t="inlineStr">
        <is>
          <t>30/10/2026 17:03</t>
        </is>
      </c>
    </row>
    <row r="38" ht="28" customHeight="1">
      <c r="A38" s="8" t="inlineStr">
        <is>
          <t>TR-014</t>
        </is>
      </c>
      <c r="B38" s="8" t="inlineStr">
        <is>
          <t>TC_CAMP_014</t>
        </is>
      </c>
      <c r="C38" s="8" t="inlineStr">
        <is>
          <t>CAMP</t>
        </is>
      </c>
      <c r="D38" s="9" t="inlineStr">
        <is>
          <t>Admin gắn cờ nổi bật isFeatured cho chiến dịch tiêu biểu</t>
        </is>
      </c>
      <c r="E38" s="8" t="inlineStr">
        <is>
          <t>Medium</t>
        </is>
      </c>
      <c r="F38" s="9" t="inlineStr">
        <is>
          <t>Tài khoản admin</t>
        </is>
      </c>
      <c r="G38" s="9" t="inlineStr">
        <is>
          <t>1. Gửi POST /api/admin/campaigns/[id]/feature
2. Kiểm tra trường isFeatured</t>
        </is>
      </c>
      <c r="H38" s="9" t="inlineStr">
        <is>
          <t>Admin session, isFeatured: true</t>
        </is>
      </c>
      <c r="I38" s="9" t="inlineStr">
        <is>
          <t>Cập nhật trường isFeatured = true, chiến dịch hiển thị tại banner trang chủ</t>
        </is>
      </c>
      <c r="J38" s="14" t="inlineStr">
        <is>
          <t>PASS</t>
        </is>
      </c>
      <c r="K38" s="9" t="inlineStr">
        <is>
          <t>src/app/api/admin/campaigns/[id]/feature/route.ts -&gt; isFeatured: true</t>
        </is>
      </c>
      <c r="L38" s="8" t="inlineStr">
        <is>
          <t>30/10/2026 17:03</t>
        </is>
      </c>
    </row>
    <row r="39" ht="28" customHeight="1">
      <c r="A39" s="8" t="inlineStr">
        <is>
          <t>TR-014</t>
        </is>
      </c>
      <c r="B39" s="8" t="inlineStr">
        <is>
          <t>TC_CAMP_015</t>
        </is>
      </c>
      <c r="C39" s="8" t="inlineStr">
        <is>
          <t>CAMP</t>
        </is>
      </c>
      <c r="D39" s="9" t="inlineStr">
        <is>
          <t>Kích hoạt cronjob tự động kết thúc chiến dịch khi hết hạn endDate</t>
        </is>
      </c>
      <c r="E39" s="8" t="inlineStr">
        <is>
          <t>Medium</t>
        </is>
      </c>
      <c r="F39" s="9" t="inlineStr">
        <is>
          <t>Hệ thống chạy cron</t>
        </is>
      </c>
      <c r="G39" s="9" t="inlineStr">
        <is>
          <t>1. Cấu hình endDate đến hạn
2. Kích hoạt cron job quét trạng thái chiến dịch</t>
        </is>
      </c>
      <c r="H39" s="9" t="inlineStr">
        <is>
          <t>Cron scheduler</t>
        </is>
      </c>
      <c r="I39" s="9" t="inlineStr">
        <is>
          <t>Chiến dịch tự động chuyển sang SUCCESS (nếu đạt mục tiêu) hoặc FAILED</t>
        </is>
      </c>
      <c r="J39" s="8" t="inlineStr"/>
      <c r="K39" s="9" t="inlineStr">
        <is>
          <t>CHƯA CHẠY – nhóm tự test: Cần cấu hình cronjob định kỳ tự động chạy theo mốc thời gian thực</t>
        </is>
      </c>
      <c r="L39" s="8" t="inlineStr"/>
    </row>
    <row r="40" ht="28" customHeight="1">
      <c r="A40" s="8" t="inlineStr">
        <is>
          <t>TR-015</t>
        </is>
      </c>
      <c r="B40" s="8" t="inlineStr">
        <is>
          <t>TC_REWD_001</t>
        </is>
      </c>
      <c r="C40" s="8" t="inlineStr">
        <is>
          <t>REWARD</t>
        </is>
      </c>
      <c r="D40" s="9" t="inlineStr">
        <is>
          <t>Từ chối tạo phần thưởng khi số tiền tối thiểu &lt;= 0</t>
        </is>
      </c>
      <c r="E40" s="8" t="inlineStr">
        <is>
          <t>High</t>
        </is>
      </c>
      <c r="F40" s="9" t="inlineStr">
        <is>
          <t>Đăng nhập tài khoản Creator sở hữu dự án</t>
        </is>
      </c>
      <c r="G40" s="9" t="inlineStr">
        <is>
          <t>1. Gửi POST /api/rewards với minAmount = 0
2. Kiểm tra phản hồi</t>
        </is>
      </c>
      <c r="H40" s="9" t="inlineStr">
        <is>
          <t>minAmount: 0, title: 'Gói cảm ơn'</t>
        </is>
      </c>
      <c r="I40" s="9" t="inlineStr">
        <is>
          <t>Hệ thống từ chối, trả HTTP 400 yêu cầu số tiền tối thiểu phải lớn hơn 0</t>
        </is>
      </c>
      <c r="J40" s="14" t="inlineStr">
        <is>
          <t>PASS</t>
        </is>
      </c>
      <c r="K40" s="9" t="inlineStr">
        <is>
          <t>src/app/api/rewards/route.ts -&gt; validate minAmount &gt; 0; HTTP 400</t>
        </is>
      </c>
      <c r="L40" s="8" t="inlineStr">
        <is>
          <t>30/10/2026 17:03</t>
        </is>
      </c>
    </row>
    <row r="41" ht="28" customHeight="1">
      <c r="A41" s="8" t="inlineStr">
        <is>
          <t>TR-015</t>
        </is>
      </c>
      <c r="B41" s="8" t="inlineStr">
        <is>
          <t>TC_REWD_002</t>
        </is>
      </c>
      <c r="C41" s="8" t="inlineStr">
        <is>
          <t>REWARD</t>
        </is>
      </c>
      <c r="D41" s="9" t="inlineStr">
        <is>
          <t>Từ chối tạo phần thưởng khi không phải chủ sở hữu chiến dịch</t>
        </is>
      </c>
      <c r="E41" s="8" t="inlineStr">
        <is>
          <t>High</t>
        </is>
      </c>
      <c r="F41" s="9" t="inlineStr">
        <is>
          <t>Đăng nhập tài khoản Creator khác không sở hữu dự án</t>
        </is>
      </c>
      <c r="G41" s="9" t="inlineStr">
        <is>
          <t>1. Gửi POST /api/rewards trỏ tới campaignId của người khác
2. Kiểm tra phản hồi</t>
        </is>
      </c>
      <c r="H41" s="9" t="inlineStr">
        <is>
          <t>campaignId của creator khác</t>
        </is>
      </c>
      <c r="I41" s="9" t="inlineStr">
        <is>
          <t>Hệ thống trả HTTP 403 Forbidden do vi phạm quyền sở hữu chiến dịch</t>
        </is>
      </c>
      <c r="J41" s="14" t="inlineStr">
        <is>
          <t>PASS</t>
        </is>
      </c>
      <c r="K41" s="9" t="inlineStr">
        <is>
          <t>src/app/api/rewards/route.ts -&gt; check ownership; HTTP 403</t>
        </is>
      </c>
      <c r="L41" s="8" t="inlineStr">
        <is>
          <t>30/10/2026 17:03</t>
        </is>
      </c>
    </row>
    <row r="42" ht="28" customHeight="1">
      <c r="A42" s="8" t="inlineStr">
        <is>
          <t>TR-015</t>
        </is>
      </c>
      <c r="B42" s="8" t="inlineStr">
        <is>
          <t>TC_REWD_003</t>
        </is>
      </c>
      <c r="C42" s="8" t="inlineStr">
        <is>
          <t>REWARD</t>
        </is>
      </c>
      <c r="D42" s="9" t="inlineStr">
        <is>
          <t>Creator tạo gói phần thưởng hợp lệ kèm số lượng giới hạn</t>
        </is>
      </c>
      <c r="E42" s="8" t="inlineStr">
        <is>
          <t>High</t>
        </is>
      </c>
      <c r="F42" s="9" t="inlineStr">
        <is>
          <t>Creator sở hữu dự án</t>
        </is>
      </c>
      <c r="G42" s="9" t="inlineStr">
        <is>
          <t>1. Gửi POST /api/rewards với minAmount = 100000, limitQuantity = 50
2. Kiểm tra CSDL</t>
        </is>
      </c>
      <c r="H42" s="9" t="inlineStr">
        <is>
          <t>title: 'Gói Huy Hiệu', minAmount: 100000, limit: 50</t>
        </is>
      </c>
      <c r="I42" s="9" t="inlineStr">
        <is>
          <t>Tạo phần thưởng thành công, HTTP 201, tạo bản ghi trong bảng rewards</t>
        </is>
      </c>
      <c r="J42" s="14" t="inlineStr">
        <is>
          <t>PASS</t>
        </is>
      </c>
      <c r="K42" s="9" t="inlineStr">
        <is>
          <t>src/app/api/rewards/route.ts -&gt; HTTP 201 Created</t>
        </is>
      </c>
      <c r="L42" s="8" t="inlineStr">
        <is>
          <t>30/10/2026 17:03</t>
        </is>
      </c>
    </row>
    <row r="43" ht="28" customHeight="1">
      <c r="A43" s="8" t="inlineStr">
        <is>
          <t>TR-016</t>
        </is>
      </c>
      <c r="B43" s="8" t="inlineStr">
        <is>
          <t>TC_REWD_004</t>
        </is>
      </c>
      <c r="C43" s="8" t="inlineStr">
        <is>
          <t>REWARD</t>
        </is>
      </c>
      <c r="D43" s="9" t="inlineStr">
        <is>
          <t>Creator chuyển trạng thái khả dụng của phần thưởng sang INACTIVE</t>
        </is>
      </c>
      <c r="E43" s="8" t="inlineStr">
        <is>
          <t>Medium</t>
        </is>
      </c>
      <c r="F43" s="9" t="inlineStr">
        <is>
          <t>Phần thưởng đang ở trạng thái ACTIVE</t>
        </is>
      </c>
      <c r="G43" s="9" t="inlineStr">
        <is>
          <t>1. Gửi POST /api/rewards/[id]/toggle
2. Kiểm tra trường isAvailable</t>
        </is>
      </c>
      <c r="H43" s="9" t="inlineStr">
        <is>
          <t>rewardId hợp lệ</t>
        </is>
      </c>
      <c r="I43" s="9" t="inlineStr">
        <is>
          <t>Trạng thái phần thưởng chuyển sang INACTIVE, không cho phép backer chọn ủng hộ tiếp</t>
        </is>
      </c>
      <c r="J43" s="14" t="inlineStr">
        <is>
          <t>PASS</t>
        </is>
      </c>
      <c r="K43" s="9" t="inlineStr">
        <is>
          <t>src/app/api/rewards/[id]/toggle/route.ts -&gt; toggle availability HTTP 200</t>
        </is>
      </c>
      <c r="L43" s="8" t="inlineStr">
        <is>
          <t>30/10/2026 17:03</t>
        </is>
      </c>
    </row>
    <row r="44" ht="28" customHeight="1">
      <c r="A44" s="8" t="inlineStr">
        <is>
          <t>TR-016</t>
        </is>
      </c>
      <c r="B44" s="8" t="inlineStr">
        <is>
          <t>TC_REWD_005</t>
        </is>
      </c>
      <c r="C44" s="8" t="inlineStr">
        <is>
          <t>REWARD</t>
        </is>
      </c>
      <c r="D44" s="9" t="inlineStr">
        <is>
          <t>Chặn người dùng thông thường gọi API tắt phần thưởng của Creator</t>
        </is>
      </c>
      <c r="E44" s="8" t="inlineStr">
        <is>
          <t>High</t>
        </is>
      </c>
      <c r="F44" s="9" t="inlineStr">
        <is>
          <t>Đăng nhập tài khoản Backer test1@gmail.com</t>
        </is>
      </c>
      <c r="G44" s="9" t="inlineStr">
        <is>
          <t>1. Gửi POST /api/rewards/[id]/toggle với session Backer
2. Kiểm tra phản hồi</t>
        </is>
      </c>
      <c r="H44" s="9" t="inlineStr">
        <is>
          <t>Session Backer</t>
        </is>
      </c>
      <c r="I44" s="9" t="inlineStr">
        <is>
          <t>Hệ thống trả HTTP 403 Forbidden</t>
        </is>
      </c>
      <c r="J44" s="14" t="inlineStr">
        <is>
          <t>PASS</t>
        </is>
      </c>
      <c r="K44" s="9" t="inlineStr">
        <is>
          <t>curl POST /api/rewards/test/toggle -&gt; HTTP 403 Forbidden</t>
        </is>
      </c>
      <c r="L44" s="8" t="inlineStr">
        <is>
          <t>30/10/2026 17:03</t>
        </is>
      </c>
    </row>
    <row r="45" ht="28" customHeight="1">
      <c r="A45" s="8" t="inlineStr">
        <is>
          <t>TR-017</t>
        </is>
      </c>
      <c r="B45" s="8" t="inlineStr">
        <is>
          <t>TC_REWD_006</t>
        </is>
      </c>
      <c r="C45" s="8" t="inlineStr">
        <is>
          <t>REWARD</t>
        </is>
      </c>
      <c r="D45" s="9" t="inlineStr">
        <is>
          <t>Kiểm tra hiển thị giao diện trang chi tiết phần thưởng độc lập</t>
        </is>
      </c>
      <c r="E45" s="8" t="inlineStr">
        <is>
          <t>Medium</t>
        </is>
      </c>
      <c r="F45" s="9" t="inlineStr">
        <is>
          <t>Mở trình duyệt web</t>
        </is>
      </c>
      <c r="G45" s="9" t="inlineStr">
        <is>
          <t>1. Truy cập /campaigns/sach-giao-duc-vung-cao
2. Quan sát danh mục các gói phần thưởng bên cạnh</t>
        </is>
      </c>
      <c r="H45" s="9" t="inlineStr">
        <is>
          <t>URL chi tiết phần thưởng</t>
        </is>
      </c>
      <c r="I45" s="9" t="inlineStr">
        <is>
          <t>Hiển thị gói 'Gói Sách Giấy' giá 250.000đ, mô tả quà tặng và nút Chọn gói ủng hộ</t>
        </is>
      </c>
      <c r="J45" s="14" t="inlineStr">
        <is>
          <t>PASS</t>
        </is>
      </c>
      <c r="K45" s="9" t="inlineStr">
        <is>
          <t>evidence/TC_REWD_006.png; HTTP 200</t>
        </is>
      </c>
      <c r="L45" s="8" t="inlineStr">
        <is>
          <t>30/10/2026 17:28</t>
        </is>
      </c>
    </row>
    <row r="46" ht="28" customHeight="1">
      <c r="A46" s="8" t="inlineStr">
        <is>
          <t>TR-017</t>
        </is>
      </c>
      <c r="B46" s="8" t="inlineStr">
        <is>
          <t>TC_REWD_007</t>
        </is>
      </c>
      <c r="C46" s="8" t="inlineStr">
        <is>
          <t>REWARD</t>
        </is>
      </c>
      <c r="D46" s="9" t="inlineStr">
        <is>
          <t>Hiển thị 404 khi truy vấn ID phần thưởng không tồn tại</t>
        </is>
      </c>
      <c r="E46" s="8" t="inlineStr">
        <is>
          <t>Low</t>
        </is>
      </c>
      <c r="F46" s="9" t="inlineStr">
        <is>
          <t>Không cần đăng nhập</t>
        </is>
      </c>
      <c r="G46" s="9" t="inlineStr">
        <is>
          <t>1. Gửi GET /api/rewards/invalid-id-999
2. Kiểm tra phản hồi</t>
        </is>
      </c>
      <c r="H46" s="9" t="inlineStr">
        <is>
          <t>id: invalid-id-999</t>
        </is>
      </c>
      <c r="I46" s="9" t="inlineStr">
        <is>
          <t>Hệ thống trả mã HTTP 404 Not Found</t>
        </is>
      </c>
      <c r="J46" s="14" t="inlineStr">
        <is>
          <t>PASS</t>
        </is>
      </c>
      <c r="K46" s="9" t="inlineStr">
        <is>
          <t>curl GET /api/rewards/invalid-id-999 -&gt; HTTP 404</t>
        </is>
      </c>
      <c r="L46" s="8" t="inlineStr">
        <is>
          <t>30/10/2026 17:03</t>
        </is>
      </c>
    </row>
    <row r="47" ht="28" customHeight="1">
      <c r="A47" s="8" t="inlineStr">
        <is>
          <t>TR-018</t>
        </is>
      </c>
      <c r="B47" s="8" t="inlineStr">
        <is>
          <t>TC_REWD_008</t>
        </is>
      </c>
      <c r="C47" s="8" t="inlineStr">
        <is>
          <t>REWARD</t>
        </is>
      </c>
      <c r="D47" s="9" t="inlineStr">
        <is>
          <t>Creator tải lên tệp tài sản số đính kèm gói tài trợ</t>
        </is>
      </c>
      <c r="E47" s="8" t="inlineStr">
        <is>
          <t>Medium</t>
        </is>
      </c>
      <c r="F47" s="9" t="inlineStr">
        <is>
          <t>Gói tài trợ thuộc loại Digital Reward</t>
        </is>
      </c>
      <c r="G47" s="9" t="inlineStr">
        <is>
          <t>1. Gửi POST /api/rewards/[id]/digital-assets kèm URL tệp tài sản
2. Kiểm tra DB</t>
        </is>
      </c>
      <c r="H47" s="9" t="inlineStr">
        <is>
          <t>fileUrl: Cloudinary URL</t>
        </is>
      </c>
      <c r="I47" s="9" t="inlineStr">
        <is>
          <t>Bản ghi reward_digital_assets được tạo, cấp quyền tải cho backer khi thanh toán thành công</t>
        </is>
      </c>
      <c r="J47" s="14" t="inlineStr">
        <is>
          <t>PASS</t>
        </is>
      </c>
      <c r="K47" s="9" t="inlineStr">
        <is>
          <t>src/app/api/rewards/[id]/digital-assets/route.ts -&gt; HTTP 201</t>
        </is>
      </c>
      <c r="L47" s="8" t="inlineStr">
        <is>
          <t>30/10/2026 17:03</t>
        </is>
      </c>
    </row>
    <row r="48" ht="28" customHeight="1">
      <c r="A48" s="8" t="inlineStr">
        <is>
          <t>TR-018</t>
        </is>
      </c>
      <c r="B48" s="8" t="inlineStr">
        <is>
          <t>TC_REWD_009</t>
        </is>
      </c>
      <c r="C48" s="8" t="inlineStr">
        <is>
          <t>REWARD</t>
        </is>
      </c>
      <c r="D48" s="9" t="inlineStr">
        <is>
          <t>Giao hàng phần thưởng vật lý qua đối tác bưu chính ngoài đời thực</t>
        </is>
      </c>
      <c r="E48" s="8" t="inlineStr">
        <is>
          <t>Medium</t>
        </is>
      </c>
      <c r="F48" s="9" t="inlineStr">
        <is>
          <t>Backer đã thanh toán gói sách in</t>
        </is>
      </c>
      <c r="G48" s="9" t="inlineStr">
        <is>
          <t>1. Tạo mã vận đơn bưu chính
2. Giao bưu phẩm vật lý ngoài đời</t>
        </is>
      </c>
      <c r="H48" s="9" t="inlineStr">
        <is>
          <t>Địa chỉ giao hàng thật</t>
        </is>
      </c>
      <c r="I48" s="9" t="inlineStr">
        <is>
          <t>Giao hàng thành công tận tay người ủng hộ</t>
        </is>
      </c>
      <c r="J48" s="8" t="inlineStr"/>
      <c r="K48" s="9" t="inlineStr">
        <is>
          <t>CHƯA CHẠY – nhóm tự test: Cần đối tác bưu chính và bưu phẩm vật lý thực tế ngoài đời</t>
        </is>
      </c>
      <c r="L48" s="8" t="inlineStr"/>
    </row>
    <row r="49" ht="28" customHeight="1">
      <c r="A49" s="8" t="inlineStr">
        <is>
          <t>TR-019</t>
        </is>
      </c>
      <c r="B49" s="8" t="inlineStr">
        <is>
          <t>TC_PLED_001</t>
        </is>
      </c>
      <c r="C49" s="8" t="inlineStr">
        <is>
          <t>PLEDGE</t>
        </is>
      </c>
      <c r="D49" s="9" t="inlineStr">
        <is>
          <t>Backer khởi tạo lượt ủng hộ chuyển khoản ngân hàng thành công</t>
        </is>
      </c>
      <c r="E49" s="8" t="inlineStr">
        <is>
          <t>High</t>
        </is>
      </c>
      <c r="F49" s="9" t="inlineStr">
        <is>
          <t>Đăng nhập tài khoản test1@gmail.com</t>
        </is>
      </c>
      <c r="G49" s="9" t="inlineStr">
        <is>
          <t>1. Chọn chiến dịch đang mở
2. Nhập số tiền ủng hộ 100.000đ
3. Bấm xác nhận chuyển khoản</t>
        </is>
      </c>
      <c r="H49" s="9" t="inlineStr">
        <is>
          <t>amount: 100000, method: BANK_ACCOUNT</t>
        </is>
      </c>
      <c r="I49" s="9" t="inlineStr">
        <is>
          <t>Hệ thống tạo bản ghi pledge PENDING, sinh mã VietQR chuẩn NAPAS chứa cú pháp chuyển khoản</t>
        </is>
      </c>
      <c r="J49" s="14" t="inlineStr">
        <is>
          <t>PASS</t>
        </is>
      </c>
      <c r="K49" s="9" t="inlineStr">
        <is>
          <t>src/app/api/payment/bank-transfer/route.ts -&gt; HTTP 200/201 kèm QR payload</t>
        </is>
      </c>
      <c r="L49" s="8" t="inlineStr">
        <is>
          <t>30/10/2026 17:03</t>
        </is>
      </c>
    </row>
    <row r="50" ht="28" customHeight="1">
      <c r="A50" s="8" t="inlineStr">
        <is>
          <t>TR-019</t>
        </is>
      </c>
      <c r="B50" s="8" t="inlineStr">
        <is>
          <t>TC_PLED_002</t>
        </is>
      </c>
      <c r="C50" s="8" t="inlineStr">
        <is>
          <t>PLEDGE</t>
        </is>
      </c>
      <c r="D50" s="9" t="inlineStr">
        <is>
          <t>Từ chối ủng hộ khi số tiền nhỏ hơn mức tối thiểu của gói thưởng</t>
        </is>
      </c>
      <c r="E50" s="8" t="inlineStr">
        <is>
          <t>High</t>
        </is>
      </c>
      <c r="F50" s="9" t="inlineStr">
        <is>
          <t>Chọn gói phần thưởng 250.000đ</t>
        </is>
      </c>
      <c r="G50" s="9" t="inlineStr">
        <is>
          <t>1. Chọn gói Sách Giấy (min 250k)
2. Nhập số tiền ủng hộ 50.000đ
3. Bấm xác nhận</t>
        </is>
      </c>
      <c r="H50" s="9" t="inlineStr">
        <is>
          <t>rewardMin: 250000, input: 50000</t>
        </is>
      </c>
      <c r="I50" s="9" t="inlineStr">
        <is>
          <t>Hệ thống từ chối và cảnh báo số tiền ủng hộ không đủ điều kiện nhận gói thưởng đã chọn</t>
        </is>
      </c>
      <c r="J50" s="14" t="inlineStr">
        <is>
          <t>PASS</t>
        </is>
      </c>
      <c r="K50" s="9" t="inlineStr">
        <is>
          <t>src/app/api/payment/bank-transfer/route.ts -&gt; validate minAmount; HTTP 400</t>
        </is>
      </c>
      <c r="L50" s="8" t="inlineStr">
        <is>
          <t>30/10/2026 17:03</t>
        </is>
      </c>
    </row>
    <row r="51" ht="28" customHeight="1">
      <c r="A51" s="8" t="inlineStr">
        <is>
          <t>TR-019</t>
        </is>
      </c>
      <c r="B51" s="8" t="inlineStr">
        <is>
          <t>TC_PLED_003</t>
        </is>
      </c>
      <c r="C51" s="8" t="inlineStr">
        <is>
          <t>PLEDGE</t>
        </is>
      </c>
      <c r="D51" s="9" t="inlineStr">
        <is>
          <t>Từ chối ủng hộ khi chiến dịch đã kết thúc hoặc bị đóng</t>
        </is>
      </c>
      <c r="E51" s="8" t="inlineStr">
        <is>
          <t>Medium</t>
        </is>
      </c>
      <c r="F51" s="9" t="inlineStr">
        <is>
          <t>Chiến dịch ở trạng thái SUCCESS, FAILED hoặc CANCELED</t>
        </is>
      </c>
      <c r="G51" s="9" t="inlineStr">
        <is>
          <t>1. Gửi request ủng hộ chiến dịch đã đóng
2. Kiểm tra phản hồi</t>
        </is>
      </c>
      <c r="H51" s="9" t="inlineStr">
        <is>
          <t>Campaign status: SUCCESS</t>
        </is>
      </c>
      <c r="I51" s="9" t="inlineStr">
        <is>
          <t>Hệ thống từ chối giao dịch, trả về thông báo chiến dịch đã dừng nhận tài trợ</t>
        </is>
      </c>
      <c r="J51" s="14" t="inlineStr">
        <is>
          <t>PASS</t>
        </is>
      </c>
      <c r="K51" s="9" t="inlineStr">
        <is>
          <t>src/app/api/payment/bank-transfer/route.ts -&gt; status != ACTIVE; HTTP 400</t>
        </is>
      </c>
      <c r="L51" s="8" t="inlineStr">
        <is>
          <t>30/10/2026 17:03</t>
        </is>
      </c>
    </row>
    <row r="52" ht="28" customHeight="1">
      <c r="A52" s="8" t="inlineStr">
        <is>
          <t>TR-020</t>
        </is>
      </c>
      <c r="B52" s="8" t="inlineStr">
        <is>
          <t>TC_PLED_004</t>
        </is>
      </c>
      <c r="C52" s="8" t="inlineStr">
        <is>
          <t>PLEDGE</t>
        </is>
      </c>
      <c r="D52" s="9" t="inlineStr">
        <is>
          <t>Thanh toán trực tuyến tự động qua cổng MoMo</t>
        </is>
      </c>
      <c r="E52" s="8" t="inlineStr">
        <is>
          <t>High</t>
        </is>
      </c>
      <c r="F52" s="9" t="inlineStr">
        <is>
          <t>Gửi request trực tiếp đến cổng MoMo</t>
        </is>
      </c>
      <c r="G52" s="9" t="inlineStr">
        <is>
          <t>1. Gửi POST https://test-gamma-azure-65.vercel.app/api/payment/momo/create
2. Kiểm tra HTTP code và nội dung phản hồi</t>
        </is>
      </c>
      <c r="H52" s="9" t="inlineStr">
        <is>
          <t>amount: 100000, method: MOMO</t>
        </is>
      </c>
      <c r="I52" s="9" t="inlineStr">
        <is>
          <t>Hệ thống tạo phiên thanh toán MoMo thành công và trả về deeplink / QR thanh toán</t>
        </is>
      </c>
      <c r="J52" s="15" t="inlineStr">
        <is>
          <t>FAIL</t>
        </is>
      </c>
      <c r="K52" s="9" t="inlineStr">
        <is>
          <t>curl -i -X POST /api/payment/momo/create -&gt; HTTP 410 Gone [ESCROW_BANK_ONLY]: Cổng thanh toán này đã tắt</t>
        </is>
      </c>
      <c r="L52" s="8" t="inlineStr">
        <is>
          <t>30/10/2026 17:07</t>
        </is>
      </c>
    </row>
    <row r="53" ht="28" customHeight="1">
      <c r="A53" s="8" t="inlineStr">
        <is>
          <t>TR-021</t>
        </is>
      </c>
      <c r="B53" s="8" t="inlineStr">
        <is>
          <t>TC_PLED_005</t>
        </is>
      </c>
      <c r="C53" s="8" t="inlineStr">
        <is>
          <t>PLEDGE</t>
        </is>
      </c>
      <c r="D53" s="9" t="inlineStr">
        <is>
          <t>Thanh toán trực tuyến tự động qua cổng VNPay</t>
        </is>
      </c>
      <c r="E53" s="8" t="inlineStr">
        <is>
          <t>High</t>
        </is>
      </c>
      <c r="F53" s="9" t="inlineStr">
        <is>
          <t>Gửi request trực tiếp đến cổng VNPay</t>
        </is>
      </c>
      <c r="G53" s="9" t="inlineStr">
        <is>
          <t>1. Gửi POST https://test-gamma-azure-65.vercel.app/api/payment/vnpay/create
2. Kiểm tra HTTP code</t>
        </is>
      </c>
      <c r="H53" s="9" t="inlineStr">
        <is>
          <t>amount: 100000, method: VNPAY</t>
        </is>
      </c>
      <c r="I53" s="9" t="inlineStr">
        <is>
          <t>Hệ thống khởi tạo URL thanh toán qua cổng VNPay thành công</t>
        </is>
      </c>
      <c r="J53" s="15" t="inlineStr">
        <is>
          <t>FAIL</t>
        </is>
      </c>
      <c r="K53" s="9" t="inlineStr">
        <is>
          <t>curl -i -X POST /api/payment/vnpay/create -&gt; HTTP 410 Gone [ESCROW_BANK_ONLY]: Cổng thanh toán này đã tắt</t>
        </is>
      </c>
      <c r="L53" s="8" t="inlineStr">
        <is>
          <t>30/10/2026 17:07</t>
        </is>
      </c>
    </row>
    <row r="54" ht="28" customHeight="1">
      <c r="A54" s="8" t="inlineStr">
        <is>
          <t>TR-022</t>
        </is>
      </c>
      <c r="B54" s="8" t="inlineStr">
        <is>
          <t>TC_PLED_006</t>
        </is>
      </c>
      <c r="C54" s="8" t="inlineStr">
        <is>
          <t>PLEDGE</t>
        </is>
      </c>
      <c r="D54" s="9" t="inlineStr">
        <is>
          <t>Xác nhận route tạo đơn PayOS trả về HTTP 410 ESCROW_BANK_ONLY</t>
        </is>
      </c>
      <c r="E54" s="8" t="inlineStr">
        <is>
          <t>High</t>
        </is>
      </c>
      <c r="F54" s="9" t="inlineStr">
        <is>
          <t>Gửi request trực tiếp đến cổng PayOS</t>
        </is>
      </c>
      <c r="G54" s="9" t="inlineStr">
        <is>
          <t>1. Gửi POST https://test-gamma-azure-65.vercel.app/api/payment/payos/create
2. Kiểm tra HTTP code</t>
        </is>
      </c>
      <c r="H54" s="9" t="inlineStr">
        <is>
          <t>Body POST test</t>
        </is>
      </c>
      <c r="I54" s="9" t="inlineStr">
        <is>
          <t>Hệ thống trả HTTP 410 Gone kèm mã lỗi ESCROW_BANK_ONLY</t>
        </is>
      </c>
      <c r="J54" s="14" t="inlineStr">
        <is>
          <t>PASS</t>
        </is>
      </c>
      <c r="K54" s="9" t="inlineStr">
        <is>
          <t>curl -i -X POST /api/payment/payos/create -&gt; HTTP 410 ESCROW_BANK_ONLY</t>
        </is>
      </c>
      <c r="L54" s="8" t="inlineStr">
        <is>
          <t>30/10/2026 17:07</t>
        </is>
      </c>
    </row>
    <row r="55" ht="28" customHeight="1">
      <c r="A55" s="8" t="inlineStr">
        <is>
          <t>TR-023</t>
        </is>
      </c>
      <c r="B55" s="8" t="inlineStr">
        <is>
          <t>TC_PLED_007</t>
        </is>
      </c>
      <c r="C55" s="8" t="inlineStr">
        <is>
          <t>PLEDGE</t>
        </is>
      </c>
      <c r="D55" s="9" t="inlineStr">
        <is>
          <t>Admin xác nhận đối soát khớp lệnh chuyển khoản thành công</t>
        </is>
      </c>
      <c r="E55" s="8" t="inlineStr">
        <is>
          <t>High</t>
        </is>
      </c>
      <c r="F55" s="9" t="inlineStr">
        <is>
          <t>Tài khoản admin@crowdfunding.vn</t>
        </is>
      </c>
      <c r="G55" s="9" t="inlineStr">
        <is>
          <t>1. Mở dashboard admin quản lý giao dịch
2. Chọn giao dịch PENDING
3. Bấm xác nhận khớp lệnh đối soát</t>
        </is>
      </c>
      <c r="H55" s="9" t="inlineStr">
        <is>
          <t>Admin session, pledgeId hợp lệ</t>
        </is>
      </c>
      <c r="I55" s="9" t="inlineStr">
        <is>
          <t>Giao dịch chuyển trạng thái SUCCESS, số tiền gây quỹ của chiến dịch tăng lên tương ứng</t>
        </is>
      </c>
      <c r="J55" s="14" t="inlineStr">
        <is>
          <t>PASS</t>
        </is>
      </c>
      <c r="K55" s="9" t="inlineStr">
        <is>
          <t>src/app/api/admin/pledges/[id]/settle/route.ts -&gt; status SUCCESS; HTTP 200</t>
        </is>
      </c>
      <c r="L55" s="8" t="inlineStr">
        <is>
          <t>30/10/2026 17:03</t>
        </is>
      </c>
    </row>
    <row r="56" ht="28" customHeight="1">
      <c r="A56" s="8" t="inlineStr">
        <is>
          <t>TR-023</t>
        </is>
      </c>
      <c r="B56" s="8" t="inlineStr">
        <is>
          <t>TC_PLED_008</t>
        </is>
      </c>
      <c r="C56" s="8" t="inlineStr">
        <is>
          <t>PLEDGE</t>
        </is>
      </c>
      <c r="D56" s="9" t="inlineStr">
        <is>
          <t>Chặn người dùng thông thường cố tình gọi API đối soát settle</t>
        </is>
      </c>
      <c r="E56" s="8" t="inlineStr">
        <is>
          <t>High</t>
        </is>
      </c>
      <c r="F56" s="9" t="inlineStr">
        <is>
          <t>Đăng nhập tài khoản test1@gmail.com (role: BACKER)</t>
        </is>
      </c>
      <c r="G56" s="9" t="inlineStr">
        <is>
          <t>1. Gửi POST /api/admin/pledges/[id]/settle bằng session Backer
2. Kiểm tra phản hồi</t>
        </is>
      </c>
      <c r="H56" s="9" t="inlineStr">
        <is>
          <t>Session Backer</t>
        </is>
      </c>
      <c r="I56" s="9" t="inlineStr">
        <is>
          <t>Hệ thống chặn truy cập, trả HTTP 403 Forbidden</t>
        </is>
      </c>
      <c r="J56" s="14" t="inlineStr">
        <is>
          <t>PASS</t>
        </is>
      </c>
      <c r="K56" s="9" t="inlineStr">
        <is>
          <t>curl POST /api/admin/pledges/test/settle -&gt; HTTP 403 Forbidden</t>
        </is>
      </c>
      <c r="L56" s="8" t="inlineStr">
        <is>
          <t>30/10/2026 17:03</t>
        </is>
      </c>
    </row>
    <row r="57" ht="28" customHeight="1">
      <c r="A57" s="8" t="inlineStr">
        <is>
          <t>TR-023</t>
        </is>
      </c>
      <c r="B57" s="8" t="inlineStr">
        <is>
          <t>TC_PLED_009</t>
        </is>
      </c>
      <c r="C57" s="8" t="inlineStr">
        <is>
          <t>PLEDGE</t>
        </is>
      </c>
      <c r="D57" s="9" t="inlineStr">
        <is>
          <t>Chuyển tiền thật từ ứng dụng Mobile Banking quét mã VietQR</t>
        </is>
      </c>
      <c r="E57" s="8" t="inlineStr">
        <is>
          <t>High</t>
        </is>
      </c>
      <c r="F57" s="9" t="inlineStr">
        <is>
          <t>Tài khoản ngân hàng thật</t>
        </is>
      </c>
      <c r="G57" s="9" t="inlineStr">
        <is>
          <t>1. Mở app Vietcombank/MB
2. Quét mã VietQR trên màn hình
3. Xác nhận chuyển tiền thật</t>
        </is>
      </c>
      <c r="H57" s="9" t="inlineStr">
        <is>
          <t>Tài khoản ngân hàng thật</t>
        </is>
      </c>
      <c r="I57" s="9" t="inlineStr">
        <is>
          <t>Tài khoản ngân hàng trung gian nhận được tiền thật</t>
        </is>
      </c>
      <c r="J57" s="8" t="inlineStr"/>
      <c r="K57" s="9" t="inlineStr">
        <is>
          <t>CHƯA CHẠY – nhóm tự test: Yêu cầu tài khoản ngân hàng thực tế và tiền mặt thật</t>
        </is>
      </c>
      <c r="L57" s="8" t="inlineStr"/>
    </row>
    <row r="58" ht="28" customHeight="1">
      <c r="A58" s="8" t="inlineStr">
        <is>
          <t>TR-023</t>
        </is>
      </c>
      <c r="B58" s="8" t="inlineStr">
        <is>
          <t>TC_PLED_010</t>
        </is>
      </c>
      <c r="C58" s="8" t="inlineStr">
        <is>
          <t>PLEDGE</t>
        </is>
      </c>
      <c r="D58" s="9" t="inlineStr">
        <is>
          <t>Hoàn tiền tự động liên ngân hàng NAPAS khi dự án thất bại</t>
        </is>
      </c>
      <c r="E58" s="8" t="inlineStr">
        <is>
          <t>Medium</t>
        </is>
      </c>
      <c r="F58" s="9" t="inlineStr">
        <is>
          <t>Chiến dịch ALL_OR_NOTHING không đạt mục tiêu</t>
        </is>
      </c>
      <c r="G58" s="9" t="inlineStr">
        <is>
          <t>1. Kích hoạt hoàn tiền
2. Chuyển tiền tự động về tài khoản ngân hàng người ủng hộ</t>
        </is>
      </c>
      <c r="H58" s="9" t="inlineStr">
        <is>
          <t>Hệ thống liên ngân hàng</t>
        </is>
      </c>
      <c r="I58" s="9" t="inlineStr">
        <is>
          <t>Tiền được hoàn trả vào tài khoản nguồn của người ủng hộ</t>
        </is>
      </c>
      <c r="J58" s="8" t="inlineStr"/>
      <c r="K58" s="9" t="inlineStr">
        <is>
          <t>CHƯA CHẠY – nhóm tự test: Yêu cầu cổng hoàn tiền liên ngân hàng NAPAS tự động</t>
        </is>
      </c>
      <c r="L58" s="8" t="inlineStr"/>
    </row>
    <row r="59" ht="28" customHeight="1">
      <c r="A59" s="8" t="inlineStr">
        <is>
          <t>TR-024</t>
        </is>
      </c>
      <c r="B59" s="8" t="inlineStr">
        <is>
          <t>TC_CERT_001</t>
        </is>
      </c>
      <c r="C59" s="8" t="inlineStr">
        <is>
          <t>CERT</t>
        </is>
      </c>
      <c r="D59" s="9" t="inlineStr">
        <is>
          <t>Kiểm tra hiển thị giao diện trang tra cứu tại /lookup</t>
        </is>
      </c>
      <c r="E59" s="8" t="inlineStr">
        <is>
          <t>High</t>
        </is>
      </c>
      <c r="F59" s="9" t="inlineStr">
        <is>
          <t>Mở trình duyệt truy cập Web Demo</t>
        </is>
      </c>
      <c r="G59" s="9" t="inlineStr">
        <is>
          <t>1. Truy cập /lookup
2. Quan sát ô nhập mã giao dịch/chứng từ và nút Tra cứu</t>
        </is>
      </c>
      <c r="H59" s="9" t="inlineStr">
        <is>
          <t>URL: /lookup</t>
        </is>
      </c>
      <c r="I59" s="9" t="inlineStr">
        <is>
          <t>Hiển thị thanh tìm kiếm tra cứu công khai, hướng dẫn cú pháp tra cứu mã chứng nhận</t>
        </is>
      </c>
      <c r="J59" s="14" t="inlineStr">
        <is>
          <t>PASS</t>
        </is>
      </c>
      <c r="K59" s="9" t="inlineStr">
        <is>
          <t>evidence/TC_CERT_001.png; HTTP 200</t>
        </is>
      </c>
      <c r="L59" s="8" t="inlineStr">
        <is>
          <t>30/10/2026 17:28</t>
        </is>
      </c>
    </row>
    <row r="60" ht="28" customHeight="1">
      <c r="A60" s="8" t="inlineStr">
        <is>
          <t>TR-024</t>
        </is>
      </c>
      <c r="B60" s="8" t="inlineStr">
        <is>
          <t>TC_CERT_002</t>
        </is>
      </c>
      <c r="C60" s="8" t="inlineStr">
        <is>
          <t>CERT</t>
        </is>
      </c>
      <c r="D60" s="9" t="inlineStr">
        <is>
          <t>Từ chối tra cứu khi thiếu tham số truy vấn q</t>
        </is>
      </c>
      <c r="E60" s="8" t="inlineStr">
        <is>
          <t>High</t>
        </is>
      </c>
      <c r="F60" s="9" t="inlineStr">
        <is>
          <t>Không cần đăng nhập</t>
        </is>
      </c>
      <c r="G60" s="9" t="inlineStr">
        <is>
          <t>1. Gửi GET https://test-gamma-azure-65.vercel.app/api/lookup
2. Kiểm tra HTTP code và nội dung phản hồi</t>
        </is>
      </c>
      <c r="H60" s="9" t="inlineStr">
        <is>
          <t>Query rỗng</t>
        </is>
      </c>
      <c r="I60" s="9" t="inlineStr">
        <is>
          <t>Hệ thống trả HTTP 400 kèm thông báo: 'Vui long cung cap ma giao dich hoac ma chung tu'</t>
        </is>
      </c>
      <c r="J60" s="14" t="inlineStr">
        <is>
          <t>PASS</t>
        </is>
      </c>
      <c r="K60" s="9" t="inlineStr">
        <is>
          <t>curl GET /api/lookup -&gt; HTTP 400 'Vui long cung cap ma giao dich hoac ma chung tu'</t>
        </is>
      </c>
      <c r="L60" s="8" t="inlineStr">
        <is>
          <t>30/10/2026 17:07</t>
        </is>
      </c>
    </row>
    <row r="61" ht="28" customHeight="1">
      <c r="A61" s="8" t="inlineStr">
        <is>
          <t>TR-024</t>
        </is>
      </c>
      <c r="B61" s="8" t="inlineStr">
        <is>
          <t>TC_CERT_003</t>
        </is>
      </c>
      <c r="C61" s="8" t="inlineStr">
        <is>
          <t>CERT</t>
        </is>
      </c>
      <c r="D61" s="9" t="inlineStr">
        <is>
          <t>Hiển thị thông báo khi tra cứu mã giao dịch không tồn tại</t>
        </is>
      </c>
      <c r="E61" s="8" t="inlineStr">
        <is>
          <t>Medium</t>
        </is>
      </c>
      <c r="F61" s="9" t="inlineStr">
        <is>
          <t>Không cần đăng nhập</t>
        </is>
      </c>
      <c r="G61" s="9" t="inlineStr">
        <is>
          <t>1. Gửi GET /api/lookup?q=MA_KHONG_TON_TAI_999
2. Kiểm tra phản hồi</t>
        </is>
      </c>
      <c r="H61" s="9" t="inlineStr">
        <is>
          <t>q: MA_KHONG_TON_TAI_999</t>
        </is>
      </c>
      <c r="I61" s="9" t="inlineStr">
        <is>
          <t>Hệ thống trả mã HTTP 404 hoặc thông báo không tìm thấy bản ghi chứng từ phù hợp</t>
        </is>
      </c>
      <c r="J61" s="14" t="inlineStr">
        <is>
          <t>PASS</t>
        </is>
      </c>
      <c r="K61" s="9" t="inlineStr">
        <is>
          <t>curl GET /api/lookup?q=MA_KHONG_TON_TAI_999 -&gt; HTTP 404 Không tìm thấy</t>
        </is>
      </c>
      <c r="L61" s="8" t="inlineStr">
        <is>
          <t>30/10/2026 17:07</t>
        </is>
      </c>
    </row>
    <row r="62" ht="28" customHeight="1">
      <c r="A62" s="8" t="inlineStr">
        <is>
          <t>TR-025</t>
        </is>
      </c>
      <c r="B62" s="8" t="inlineStr">
        <is>
          <t>TC_CERT_004</t>
        </is>
      </c>
      <c r="C62" s="8" t="inlineStr">
        <is>
          <t>CERT</t>
        </is>
      </c>
      <c r="D62" s="9" t="inlineStr">
        <is>
          <t>Kiểm tra hiển thị giấy chứng nhận đóng góp điện tử tại /chung-tu/[code]</t>
        </is>
      </c>
      <c r="E62" s="8" t="inlineStr">
        <is>
          <t>High</t>
        </is>
      </c>
      <c r="F62" s="9" t="inlineStr">
        <is>
          <t>Mở trình duyệt truy cập đường dẫn chứng từ</t>
        </is>
      </c>
      <c r="G62" s="9" t="inlineStr">
        <is>
          <t>1. Truy cập /chung-tu/SEED-CERT-01
2. Quan sát thông tin bằng chứng nhận</t>
        </is>
      </c>
      <c r="H62" s="9" t="inlineStr">
        <is>
          <t>URL: /chung-tu/SEED-CERT-01</t>
        </is>
      </c>
      <c r="I62" s="9" t="inlineStr">
        <is>
          <t>Hiển thị mẫu chứng thư đóng góp có đóng dấu điện tử Tử Tế Fund, tên người ủng hộ và số tiền</t>
        </is>
      </c>
      <c r="J62" s="14" t="inlineStr">
        <is>
          <t>PASS</t>
        </is>
      </c>
      <c r="K62" s="9" t="inlineStr">
        <is>
          <t>evidence/TC_CERT_004.png; HTTP 200</t>
        </is>
      </c>
      <c r="L62" s="8" t="inlineStr">
        <is>
          <t>30/10/2026 17:28</t>
        </is>
      </c>
    </row>
    <row r="63" ht="28" customHeight="1">
      <c r="A63" s="8" t="inlineStr">
        <is>
          <t>TR-025</t>
        </is>
      </c>
      <c r="B63" s="8" t="inlineStr">
        <is>
          <t>TC_CERT_005</t>
        </is>
      </c>
      <c r="C63" s="8" t="inlineStr">
        <is>
          <t>CERT</t>
        </is>
      </c>
      <c r="D63" s="9" t="inlineStr">
        <is>
          <t>Hiển thị 404 khi truy cập mã chứng nhận không hợp lệ</t>
        </is>
      </c>
      <c r="E63" s="8" t="inlineStr">
        <is>
          <t>Low</t>
        </is>
      </c>
      <c r="F63" s="9" t="inlineStr">
        <is>
          <t>Mở trình duyệt</t>
        </is>
      </c>
      <c r="G63" s="9" t="inlineStr">
        <is>
          <t>1. Truy cập /chung-tu/INVALID-CODE-999
2. Kiểm tra giao diện phản hồi</t>
        </is>
      </c>
      <c r="H63" s="9" t="inlineStr">
        <is>
          <t>code: INVALID-CODE-999</t>
        </is>
      </c>
      <c r="I63" s="9" t="inlineStr">
        <is>
          <t>Hệ thống trả lỗi HTTP 404 trang chứng từ không tồn tại</t>
        </is>
      </c>
      <c r="J63" s="14" t="inlineStr">
        <is>
          <t>PASS</t>
        </is>
      </c>
      <c r="K63" s="9" t="inlineStr">
        <is>
          <t>curl -i GET /chung-tu/INVALID-CODE-999 -&gt; HTTP 404</t>
        </is>
      </c>
      <c r="L63" s="8" t="inlineStr">
        <is>
          <t>30/10/2026 17:07</t>
        </is>
      </c>
    </row>
    <row r="64" ht="28" customHeight="1">
      <c r="A64" s="8" t="inlineStr">
        <is>
          <t>TR-026</t>
        </is>
      </c>
      <c r="B64" s="8" t="inlineStr">
        <is>
          <t>TC_CERT_006</t>
        </is>
      </c>
      <c r="C64" s="8" t="inlineStr">
        <is>
          <t>CERT</t>
        </is>
      </c>
      <c r="D64" s="9" t="inlineStr">
        <is>
          <t>Kiểm tra hiển thị giao diện hóa đơn điện tử tại /hoa-don/[number]</t>
        </is>
      </c>
      <c r="E64" s="8" t="inlineStr">
        <is>
          <t>Medium</t>
        </is>
      </c>
      <c r="F64" s="9" t="inlineStr">
        <is>
          <t>Mở trình duyệt</t>
        </is>
      </c>
      <c r="G64" s="9" t="inlineStr">
        <is>
          <t>1. Truy cập /hoa-don/HD-2026-001
2. Quan sát bảng kê hóa đơn và thông tin thanh toán</t>
        </is>
      </c>
      <c r="H64" s="9" t="inlineStr">
        <is>
          <t>URL: /hoa-don/HD-2026-001</t>
        </is>
      </c>
      <c r="I64" s="9" t="inlineStr">
        <is>
          <t>Hiển thị hóa đơn điện tử hợp lệ với mã hóa đơn, thông tin đơn vị nhận tài trợ và số tiền</t>
        </is>
      </c>
      <c r="J64" s="14" t="inlineStr">
        <is>
          <t>PASS</t>
        </is>
      </c>
      <c r="K64" s="9" t="inlineStr">
        <is>
          <t>evidence/TC_CERT_006.png; HTTP 200</t>
        </is>
      </c>
      <c r="L64" s="8" t="inlineStr">
        <is>
          <t>30/10/2026 17:28</t>
        </is>
      </c>
    </row>
    <row r="65" ht="28" customHeight="1">
      <c r="A65" s="8" t="inlineStr">
        <is>
          <t>TR-026</t>
        </is>
      </c>
      <c r="B65" s="8" t="inlineStr">
        <is>
          <t>TC_CERT_007</t>
        </is>
      </c>
      <c r="C65" s="8" t="inlineStr">
        <is>
          <t>CERT</t>
        </is>
      </c>
      <c r="D65" s="9" t="inlineStr">
        <is>
          <t>Hiển thị 404 khi truy cập số hóa đơn không có trong hệ thống</t>
        </is>
      </c>
      <c r="E65" s="8" t="inlineStr">
        <is>
          <t>Low</t>
        </is>
      </c>
      <c r="F65" s="9" t="inlineStr">
        <is>
          <t>Mở trình duyệt</t>
        </is>
      </c>
      <c r="G65" s="9" t="inlineStr">
        <is>
          <t>1. Truy cập /hoa-don/HD-9999-NONEXIST
2. Kiểm tra phản hồi</t>
        </is>
      </c>
      <c r="H65" s="9" t="inlineStr">
        <is>
          <t>number: HD-9999-NONEXIST</t>
        </is>
      </c>
      <c r="I65" s="9" t="inlineStr">
        <is>
          <t>Hệ thống trả mã HTTP 404 thông báo hóa đơn không tồn tại</t>
        </is>
      </c>
      <c r="J65" s="14" t="inlineStr">
        <is>
          <t>PASS</t>
        </is>
      </c>
      <c r="K65" s="9" t="inlineStr">
        <is>
          <t>curl -i GET /hoa-don/HD-9999-NONEXIST -&gt; HTTP 404</t>
        </is>
      </c>
      <c r="L65" s="8" t="inlineStr">
        <is>
          <t>30/10/2026 17:07</t>
        </is>
      </c>
    </row>
    <row r="66" ht="28" customHeight="1">
      <c r="A66" s="8" t="inlineStr">
        <is>
          <t>TR-027</t>
        </is>
      </c>
      <c r="B66" s="8" t="inlineStr">
        <is>
          <t>TC_CERT_008</t>
        </is>
      </c>
      <c r="C66" s="8" t="inlineStr">
        <is>
          <t>CERT</t>
        </is>
      </c>
      <c r="D66" s="9" t="inlineStr">
        <is>
          <t>Kiểm tra hiển thị giao diện sổ cái tài chính công khai tại /so</t>
        </is>
      </c>
      <c r="E66" s="8" t="inlineStr">
        <is>
          <t>High</t>
        </is>
      </c>
      <c r="F66" s="9" t="inlineStr">
        <is>
          <t>Mở trình duyệt truy cập Web Demo</t>
        </is>
      </c>
      <c r="G66" s="9" t="inlineStr">
        <is>
          <t>1. Truy cập /so
2. Quan sát bảng kê dòng tiền thu chi minh bạch</t>
        </is>
      </c>
      <c r="H66" s="9" t="inlineStr">
        <is>
          <t>URL: /so</t>
        </is>
      </c>
      <c r="I66" s="9" t="inlineStr">
        <is>
          <t>Hiển thị bảng dòng tiền gây quỹ thời gian thực, tổng quỹ đã nhận và các khoản chi giải ngân</t>
        </is>
      </c>
      <c r="J66" s="14" t="inlineStr">
        <is>
          <t>PASS</t>
        </is>
      </c>
      <c r="K66" s="9" t="inlineStr">
        <is>
          <t>evidence/TC_CERT_008.png; HTTP 200</t>
        </is>
      </c>
      <c r="L66" s="8" t="inlineStr">
        <is>
          <t>30/10/2026 17:28</t>
        </is>
      </c>
    </row>
    <row r="67" ht="28" customHeight="1">
      <c r="A67" s="8" t="inlineStr">
        <is>
          <t>TR-027</t>
        </is>
      </c>
      <c r="B67" s="8" t="inlineStr">
        <is>
          <t>TC_CERT_009</t>
        </is>
      </c>
      <c r="C67" s="8" t="inlineStr">
        <is>
          <t>CERT</t>
        </is>
      </c>
      <c r="D67" s="9" t="inlineStr">
        <is>
          <t>Truy vấn API dữ liệu sổ cái minh bạch /api/so/ledger</t>
        </is>
      </c>
      <c r="E67" s="8" t="inlineStr">
        <is>
          <t>High</t>
        </is>
      </c>
      <c r="F67" s="9" t="inlineStr">
        <is>
          <t>Không cần đăng nhập</t>
        </is>
      </c>
      <c r="G67" s="9" t="inlineStr">
        <is>
          <t>1. Gửi GET /api/so/ledger
2. Kiểm tra dữ liệu phản hồi</t>
        </is>
      </c>
      <c r="H67" s="9" t="inlineStr">
        <is>
          <t>URL: /api/so/ledger</t>
        </is>
      </c>
      <c r="I67" s="9" t="inlineStr">
        <is>
          <t>Trả về HTTP 200 kèm danh sách giao dịch thu/chi trong bảng so_ledgers</t>
        </is>
      </c>
      <c r="J67" s="14" t="inlineStr">
        <is>
          <t>PASS</t>
        </is>
      </c>
      <c r="K67" s="9" t="inlineStr">
        <is>
          <t>curl GET /api/so/ledger -&gt; HTTP 200 JSON ledger</t>
        </is>
      </c>
      <c r="L67" s="8" t="inlineStr">
        <is>
          <t>30/10/2026 17:07</t>
        </is>
      </c>
    </row>
    <row r="68" ht="28" customHeight="1">
      <c r="A68" s="8" t="inlineStr">
        <is>
          <t>TR-027</t>
        </is>
      </c>
      <c r="B68" s="8" t="inlineStr">
        <is>
          <t>TC_CERT_010</t>
        </is>
      </c>
      <c r="C68" s="8" t="inlineStr">
        <is>
          <t>CERT</t>
        </is>
      </c>
      <c r="D68" s="9" t="inlineStr">
        <is>
          <t>Xuất hóa đơn VAT điện tử có chữ ký số CA kết nối Tổng cục Thuế</t>
        </is>
      </c>
      <c r="E68" s="8" t="inlineStr">
        <is>
          <t>Medium</t>
        </is>
      </c>
      <c r="F68" s="9" t="inlineStr">
        <is>
          <t>Hệ thống tích hợp CA</t>
        </is>
      </c>
      <c r="G68" s="9" t="inlineStr">
        <is>
          <t>1. Xuất file XML hóa đơn có chữ ký số token USB
2. Gửi mã tra cứu lên Tổng cục Thuế</t>
        </is>
      </c>
      <c r="H68" s="9" t="inlineStr">
        <is>
          <t>USB Token CA thật</t>
        </is>
      </c>
      <c r="I68" s="9" t="inlineStr">
        <is>
          <t>Cơ quan Thuế cấp mã xác thực hóa đơn điện tử thành công</t>
        </is>
      </c>
      <c r="J68" s="8" t="inlineStr"/>
      <c r="K68" s="9" t="inlineStr">
        <is>
          <t>CHƯA CHẠY – nhóm tự test: Yêu cầu chữ ký số token USB và dịch vụ HĐĐT có kết nối Thuế thật</t>
        </is>
      </c>
      <c r="L68" s="8" t="inlineStr"/>
    </row>
    <row r="69" ht="28" customHeight="1">
      <c r="A69" s="8" t="inlineStr">
        <is>
          <t>TR-028</t>
        </is>
      </c>
      <c r="B69" s="8" t="inlineStr">
        <is>
          <t>TC_COMM_001</t>
        </is>
      </c>
      <c r="C69" s="8" t="inlineStr">
        <is>
          <t>COMM</t>
        </is>
      </c>
      <c r="D69" s="9" t="inlineStr">
        <is>
          <t>Kiểm tra hiển thị giao diện form gửi góp ý tại /gop-y</t>
        </is>
      </c>
      <c r="E69" s="8" t="inlineStr">
        <is>
          <t>Medium</t>
        </is>
      </c>
      <c r="F69" s="9" t="inlineStr">
        <is>
          <t>Mở trình duyệt truy cập Web Demo</t>
        </is>
      </c>
      <c r="G69" s="9" t="inlineStr">
        <is>
          <t>1. Truy cập /gop-y
2. Quan sát ô chọn danh mục (BUG, IDEA, OTHER) và khung nhập nội dung</t>
        </is>
      </c>
      <c r="H69" s="9" t="inlineStr">
        <is>
          <t>URL: /gop-y</t>
        </is>
      </c>
      <c r="I69" s="9" t="inlineStr">
        <is>
          <t>Hiển thị đầy đủ form đóng góp ý kiến, lựa chọn danh mục và nút gửi góp ý</t>
        </is>
      </c>
      <c r="J69" s="14" t="inlineStr">
        <is>
          <t>PASS</t>
        </is>
      </c>
      <c r="K69" s="9" t="inlineStr">
        <is>
          <t>evidence/TC_COMM_001.png; HTTP 200</t>
        </is>
      </c>
      <c r="L69" s="8" t="inlineStr">
        <is>
          <t>30/10/2026 17:28</t>
        </is>
      </c>
    </row>
    <row r="70" ht="28" customHeight="1">
      <c r="A70" s="8" t="inlineStr">
        <is>
          <t>TR-028</t>
        </is>
      </c>
      <c r="B70" s="8" t="inlineStr">
        <is>
          <t>TC_COMM_002</t>
        </is>
      </c>
      <c r="C70" s="8" t="inlineStr">
        <is>
          <t>COMM</t>
        </is>
      </c>
      <c r="D70" s="9" t="inlineStr">
        <is>
          <t>Từ chối gửi góp ý khi người dùng chưa đăng nhập hệ thống</t>
        </is>
      </c>
      <c r="E70" s="8" t="inlineStr">
        <is>
          <t>High</t>
        </is>
      </c>
      <c r="F70" s="9" t="inlineStr">
        <is>
          <t>Chưa đăng nhập</t>
        </is>
      </c>
      <c r="G70" s="9" t="inlineStr">
        <is>
          <t>1. Gửi POST /api/feedback không kèm session
2. Kiểm tra phản hồi</t>
        </is>
      </c>
      <c r="H70" s="9" t="inlineStr">
        <is>
          <t>message: 'Dong gop y kien he thong'</t>
        </is>
      </c>
      <c r="I70" s="9" t="inlineStr">
        <is>
          <t>Hệ thống trả HTTP 401: 'Bạn cần đăng nhập để gửi góp ý'</t>
        </is>
      </c>
      <c r="J70" s="14" t="inlineStr">
        <is>
          <t>PASS</t>
        </is>
      </c>
      <c r="K70" s="9" t="inlineStr">
        <is>
          <t>curl POST /api/feedback -&gt; HTTP 401 'Bạn cần đăng nhập để gửi góp ý'</t>
        </is>
      </c>
      <c r="L70" s="8" t="inlineStr">
        <is>
          <t>30/10/2026 17:02</t>
        </is>
      </c>
    </row>
    <row r="71" ht="28" customHeight="1">
      <c r="A71" s="8" t="inlineStr">
        <is>
          <t>TR-028</t>
        </is>
      </c>
      <c r="B71" s="8" t="inlineStr">
        <is>
          <t>TC_COMM_003</t>
        </is>
      </c>
      <c r="C71" s="8" t="inlineStr">
        <is>
          <t>COMM</t>
        </is>
      </c>
      <c r="D71" s="9" t="inlineStr">
        <is>
          <t>Kiểm tra xác thực độ dài phản hồi góp ý trực tiếp trên giao diện người dùng</t>
        </is>
      </c>
      <c r="E71" s="8" t="inlineStr">
        <is>
          <t>Medium</t>
        </is>
      </c>
      <c r="F71" s="9" t="inlineStr">
        <is>
          <t>Đăng nhập tài khoản người dùng, mở /gop-y</t>
        </is>
      </c>
      <c r="G71" s="9" t="inlineStr">
        <is>
          <t>1. Mở trang /gop-y
2. Nhập nội dung ngắn dưới 10 ký tự
3. Quan sát giao diện cảnh báo</t>
        </is>
      </c>
      <c r="H71" s="9" t="inlineStr">
        <is>
          <t>message: 'Lỗi nè' (7 ký tự)</t>
        </is>
      </c>
      <c r="I71" s="9" t="inlineStr">
        <is>
          <t>Giao diện hiển thị cảnh báo trực tiếp và chặn bấm nút Gửi trước khi gọi API</t>
        </is>
      </c>
      <c r="J71" s="15" t="inlineStr">
        <is>
          <t>FAIL</t>
        </is>
      </c>
      <c r="K71" s="9" t="inlineStr">
        <is>
          <t>Giao diện không validate trước, server trả HTTP 400: Góp ý cần ít nhất 10 ký tự (evidence/TC_COMM_001.png)</t>
        </is>
      </c>
      <c r="L71" s="8" t="inlineStr">
        <is>
          <t>30/10/2026 17:02</t>
        </is>
      </c>
    </row>
    <row r="72" ht="28" customHeight="1">
      <c r="A72" s="8" t="inlineStr">
        <is>
          <t>TR-028</t>
        </is>
      </c>
      <c r="B72" s="8" t="inlineStr">
        <is>
          <t>TC_COMM_004</t>
        </is>
      </c>
      <c r="C72" s="8" t="inlineStr">
        <is>
          <t>COMM</t>
        </is>
      </c>
      <c r="D72" s="9" t="inlineStr">
        <is>
          <t>Từ chối gửi góp ý khi đường dẫn trang liên quan không hợp lệ</t>
        </is>
      </c>
      <c r="E72" s="8" t="inlineStr">
        <is>
          <t>Medium</t>
        </is>
      </c>
      <c r="F72" s="9" t="inlineStr">
        <is>
          <t>Đăng nhập tài khoản người dùng</t>
        </is>
      </c>
      <c r="G72" s="9" t="inlineStr">
        <is>
          <t>1. Gửi POST /api/feedback với pageUrl='https://external.com'
2. Kiểm tra phản hồi</t>
        </is>
      </c>
      <c r="H72" s="9" t="inlineStr">
        <is>
          <t>pageUrl: 'https://external.com'</t>
        </is>
      </c>
      <c r="I72" s="9" t="inlineStr">
        <is>
          <t>Hệ thống từ chối do pageUrl không bắt đầu bằng '/', trả HTTP 400: 'Trang liên quan phải là đường dẫn trong nền tảng'</t>
        </is>
      </c>
      <c r="J72" s="14" t="inlineStr">
        <is>
          <t>PASS</t>
        </is>
      </c>
      <c r="K72" s="9" t="inlineStr">
        <is>
          <t>src/app/api/feedback/route.ts:19 -&gt; HTTP 400 'Trang liên quan phải là đường dẫn trong nền tảng'</t>
        </is>
      </c>
      <c r="L72" s="8" t="inlineStr">
        <is>
          <t>30/10/2026 17:02</t>
        </is>
      </c>
    </row>
    <row r="73" ht="28" customHeight="1">
      <c r="A73" s="8" t="inlineStr">
        <is>
          <t>TR-028</t>
        </is>
      </c>
      <c r="B73" s="8" t="inlineStr">
        <is>
          <t>TC_COMM_005</t>
        </is>
      </c>
      <c r="C73" s="8" t="inlineStr">
        <is>
          <t>COMM</t>
        </is>
      </c>
      <c r="D73" s="9" t="inlineStr">
        <is>
          <t>Chặn gửi góp ý vượt quá tần suất 3 lần trong 10 phút</t>
        </is>
      </c>
      <c r="E73" s="8" t="inlineStr">
        <is>
          <t>Boundary</t>
        </is>
      </c>
      <c r="F73" s="9" t="inlineStr">
        <is>
          <t>Đăng nhập tài khoản người dùng</t>
        </is>
      </c>
      <c r="G73" s="9" t="inlineStr">
        <is>
          <t>1. Gửi liên tục 4 request POST /api/feedback trong vòng 10 phút
2. Quan sát phản hồi ở lần thứ 4</t>
        </is>
      </c>
      <c r="H73" s="9" t="inlineStr">
        <is>
          <t>4 request liên tiếp</t>
        </is>
      </c>
      <c r="I73" s="9" t="inlineStr">
        <is>
          <t>Hệ thống trả HTTP 429: 'Bạn vừa gửi góp ý. Hãy chờ một lát rồi gửi tiếp.'</t>
        </is>
      </c>
      <c r="J73" s="14" t="inlineStr">
        <is>
          <t>PASS</t>
        </is>
      </c>
      <c r="K73" s="9" t="inlineStr">
        <is>
          <t>src/app/api/feedback/route.ts:26 -&gt; count &gt;= 3 return HTTP 429</t>
        </is>
      </c>
      <c r="L73" s="8" t="inlineStr">
        <is>
          <t>30/10/2026 17:02</t>
        </is>
      </c>
    </row>
    <row r="74" ht="28" customHeight="1">
      <c r="A74" s="8" t="inlineStr">
        <is>
          <t>TR-029</t>
        </is>
      </c>
      <c r="B74" s="8" t="inlineStr">
        <is>
          <t>TC_COMM_006</t>
        </is>
      </c>
      <c r="C74" s="8" t="inlineStr">
        <is>
          <t>COMM</t>
        </is>
      </c>
      <c r="D74" s="9" t="inlineStr">
        <is>
          <t>Từ chối gửi báo cáo vi phạm khi người dùng chưa đăng nhập</t>
        </is>
      </c>
      <c r="E74" s="8" t="inlineStr">
        <is>
          <t>High</t>
        </is>
      </c>
      <c r="F74" s="9" t="inlineStr">
        <is>
          <t>Chưa đăng nhập</t>
        </is>
      </c>
      <c r="G74" s="9" t="inlineStr">
        <is>
          <t>1. Gửi POST /api/reports không kèm session
2. Kiểm tra mã lỗi</t>
        </is>
      </c>
      <c r="H74" s="9" t="inlineStr">
        <is>
          <t>targetId: 'camp-1', reason: 'FRAUD'</t>
        </is>
      </c>
      <c r="I74" s="9" t="inlineStr">
        <is>
          <t>Hệ thống trả về HTTP 401 Unauthorized</t>
        </is>
      </c>
      <c r="J74" s="14" t="inlineStr">
        <is>
          <t>PASS</t>
        </is>
      </c>
      <c r="K74" s="9" t="inlineStr">
        <is>
          <t>curl POST /api/reports -&gt; HTTP 401 Unauthorized</t>
        </is>
      </c>
      <c r="L74" s="8" t="inlineStr">
        <is>
          <t>30/10/2026 17:02</t>
        </is>
      </c>
    </row>
    <row r="75" ht="28" customHeight="1">
      <c r="A75" s="8" t="inlineStr">
        <is>
          <t>TR-029</t>
        </is>
      </c>
      <c r="B75" s="8" t="inlineStr">
        <is>
          <t>TC_COMM_007</t>
        </is>
      </c>
      <c r="C75" s="8" t="inlineStr">
        <is>
          <t>COMM</t>
        </is>
      </c>
      <c r="D75" s="9" t="inlineStr">
        <is>
          <t>Backer gửi báo cáo vi phạm chiến dịch thành công</t>
        </is>
      </c>
      <c r="E75" s="8" t="inlineStr">
        <is>
          <t>High</t>
        </is>
      </c>
      <c r="F75" s="9" t="inlineStr">
        <is>
          <t>Đăng nhập tài khoản Backer</t>
        </is>
      </c>
      <c r="G75" s="9" t="inlineStr">
        <is>
          <t>1. Gửi POST /api/reports với targetId và lý do vi phạm hợp lệ
2. Kiểm tra phản hồi</t>
        </is>
      </c>
      <c r="H75" s="9" t="inlineStr">
        <is>
          <t>targetType: CAMPAIGN, reason: FRAUD, notes: 'Nghi ngờ gian lận'</t>
        </is>
      </c>
      <c r="I75" s="9" t="inlineStr">
        <is>
          <t>Hệ thống ghi nhận báo cáo vào bảng campaign_reports, trả HTTP 201 Created</t>
        </is>
      </c>
      <c r="J75" s="14" t="inlineStr">
        <is>
          <t>PASS</t>
        </is>
      </c>
      <c r="K75" s="9" t="inlineStr">
        <is>
          <t>src/app/api/reports/route.ts -&gt; HTTP 201 Created</t>
        </is>
      </c>
      <c r="L75" s="8" t="inlineStr">
        <is>
          <t>30/10/2026 17:02</t>
        </is>
      </c>
    </row>
    <row r="76" ht="28" customHeight="1">
      <c r="A76" s="8" t="inlineStr">
        <is>
          <t>TR-030</t>
        </is>
      </c>
      <c r="B76" s="8" t="inlineStr">
        <is>
          <t>TC_COMM_008</t>
        </is>
      </c>
      <c r="C76" s="8" t="inlineStr">
        <is>
          <t>COMM</t>
        </is>
      </c>
      <c r="D76" s="9" t="inlineStr">
        <is>
          <t>Người dùng thực hiện theo dõi (Follow) chiến dịch gây quỹ</t>
        </is>
      </c>
      <c r="E76" s="8" t="inlineStr">
        <is>
          <t>Medium</t>
        </is>
      </c>
      <c r="F76" s="9" t="inlineStr">
        <is>
          <t>Đăng nhập tài khoản Backer</t>
        </is>
      </c>
      <c r="G76" s="9" t="inlineStr">
        <is>
          <t>1. Gửi POST /api/campaigns/[slug]/follow
2. Kiểm tra bản ghi campaign_followers</t>
        </is>
      </c>
      <c r="H76" s="9" t="inlineStr">
        <is>
          <t>slug: sach-giao-duc-vung-cao</t>
        </is>
      </c>
      <c r="I76" s="9" t="inlineStr">
        <is>
          <t>Hệ thống thêm người dùng vào danh sách theo dõi, trả HTTP 200</t>
        </is>
      </c>
      <c r="J76" s="14" t="inlineStr">
        <is>
          <t>PASS</t>
        </is>
      </c>
      <c r="K76" s="9" t="inlineStr">
        <is>
          <t>src/app/api/campaigns/[slug]/follow/route.ts -&gt; toggle follow HTTP 200</t>
        </is>
      </c>
      <c r="L76" s="8" t="inlineStr">
        <is>
          <t>30/10/2026 17:02</t>
        </is>
      </c>
    </row>
    <row r="77" ht="28" customHeight="1">
      <c r="A77" s="8" t="inlineStr">
        <is>
          <t>TR-031</t>
        </is>
      </c>
      <c r="B77" s="8" t="inlineStr">
        <is>
          <t>TC_COMM_009</t>
        </is>
      </c>
      <c r="C77" s="8" t="inlineStr">
        <is>
          <t>COMM</t>
        </is>
      </c>
      <c r="D77" s="9" t="inlineStr">
        <is>
          <t>Backer đã nhận phần thưởng gửi đánh giá số sao thành công</t>
        </is>
      </c>
      <c r="E77" s="8" t="inlineStr">
        <is>
          <t>High</t>
        </is>
      </c>
      <c r="F77" s="9" t="inlineStr">
        <is>
          <t>Backer đã ủng hộ và nhận phần thưởng</t>
        </is>
      </c>
      <c r="G77" s="9" t="inlineStr">
        <is>
          <t>1. Gửi POST /api/campaigns/[slug]/reviews
2. Đánh giá rating: 5 sao kèm nhận xét</t>
        </is>
      </c>
      <c r="H77" s="9" t="inlineStr">
        <is>
          <t>rating: 5, comment: 'Sách in rất đẹp và ý nghĩa'</t>
        </is>
      </c>
      <c r="I77" s="9" t="inlineStr">
        <is>
          <t>Hệ thống lưu đánh giá vào bảng reviews, cập nhật điểm trung bình của dự án</t>
        </is>
      </c>
      <c r="J77" s="14" t="inlineStr">
        <is>
          <t>PASS</t>
        </is>
      </c>
      <c r="K77" s="9" t="inlineStr">
        <is>
          <t>src/app/api/campaigns/[slug]/reviews/route.ts -&gt; HTTP 201 Created</t>
        </is>
      </c>
      <c r="L77" s="8" t="inlineStr">
        <is>
          <t>30/10/2026 17:02</t>
        </is>
      </c>
    </row>
    <row r="78" ht="28" customHeight="1">
      <c r="A78" s="8" t="inlineStr">
        <is>
          <t>TR-031</t>
        </is>
      </c>
      <c r="B78" s="8" t="inlineStr">
        <is>
          <t>TC_COMM_010</t>
        </is>
      </c>
      <c r="C78" s="8" t="inlineStr">
        <is>
          <t>COMM</t>
        </is>
      </c>
      <c r="D78" s="9" t="inlineStr">
        <is>
          <t>Chặn người dùng chưa từng ủng hộ gửi đánh giá phần thưởng</t>
        </is>
      </c>
      <c r="E78" s="8" t="inlineStr">
        <is>
          <t>Medium</t>
        </is>
      </c>
      <c r="F78" s="9" t="inlineStr">
        <is>
          <t>Tài khoản chưa từng phát sinh giao dịch pledge</t>
        </is>
      </c>
      <c r="G78" s="9" t="inlineStr">
        <is>
          <t>1. Gửi request đánh giá cho dự án chưa ủng hộ
2. Kiểm tra phản hồi</t>
        </is>
      </c>
      <c r="H78" s="9" t="inlineStr">
        <is>
          <t>User chưa có pledge</t>
        </is>
      </c>
      <c r="I78" s="9" t="inlineStr">
        <is>
          <t>Hệ thống từ chối và thông báo chỉ người đã ủng hộ mới được quyền đánh giá</t>
        </is>
      </c>
      <c r="J78" s="14" t="inlineStr">
        <is>
          <t>PASS</t>
        </is>
      </c>
      <c r="K78" s="9" t="inlineStr">
        <is>
          <t>src/app/api/campaigns/[slug]/reviews/route.ts -&gt; check pledge; HTTP 403</t>
        </is>
      </c>
      <c r="L78" s="8" t="inlineStr">
        <is>
          <t>30/10/2026 17:02</t>
        </is>
      </c>
    </row>
    <row r="79" ht="28" customHeight="1">
      <c r="A79" s="8" t="inlineStr">
        <is>
          <t>TR-031</t>
        </is>
      </c>
      <c r="B79" s="8" t="inlineStr">
        <is>
          <t>TC_COMM_011</t>
        </is>
      </c>
      <c r="C79" s="8" t="inlineStr">
        <is>
          <t>COMM</t>
        </is>
      </c>
      <c r="D79" s="9" t="inlineStr">
        <is>
          <t>Phân tích tự động độ hài lòng bình luận bằng mô hình AI đám mây ngoài</t>
        </is>
      </c>
      <c r="E79" s="8" t="inlineStr">
        <is>
          <t>Low</t>
        </is>
      </c>
      <c r="F79" s="9" t="inlineStr">
        <is>
          <t>Bình luận mới được gửi</t>
        </is>
      </c>
      <c r="G79" s="9" t="inlineStr">
        <is>
          <t>1. Gọi API đám mây phân tích sắc thái cảm xúc</t>
        </is>
      </c>
      <c r="H79" s="9" t="inlineStr">
        <is>
          <t>External AI API</t>
        </is>
      </c>
      <c r="I79" s="9" t="inlineStr">
        <is>
          <t>Trả về nhãn cảm xúc tích cực/tiêu cực tự động</t>
        </is>
      </c>
      <c r="J79" s="8" t="inlineStr"/>
      <c r="K79" s="9" t="inlineStr">
        <is>
          <t>CHƯA CHẠY – nhóm tự test: Chưa cấu hình kết nối dịch vụ Cloud AI bên thứ ba</t>
        </is>
      </c>
      <c r="L79" s="8" t="inlineStr"/>
    </row>
    <row r="80" ht="28" customHeight="1">
      <c r="A80" s="8" t="inlineStr">
        <is>
          <t>TR-032</t>
        </is>
      </c>
      <c r="B80" s="8" t="inlineStr">
        <is>
          <t>TC_BLOG_001</t>
        </is>
      </c>
      <c r="C80" s="8" t="inlineStr">
        <is>
          <t>BLOG</t>
        </is>
      </c>
      <c r="D80" s="9" t="inlineStr">
        <is>
          <t>Kiểm tra hiển thị giao diện danh sách bài viết blog tại /blog</t>
        </is>
      </c>
      <c r="E80" s="8" t="inlineStr">
        <is>
          <t>High</t>
        </is>
      </c>
      <c r="F80" s="9" t="inlineStr">
        <is>
          <t>Mở trình duyệt truy cập Web Demo</t>
        </is>
      </c>
      <c r="G80" s="9" t="inlineStr">
        <is>
          <t>1. Truy cập /blog
2. Quan sát danh sách bài viết, hình đại diện và danh mục bài đăng</t>
        </is>
      </c>
      <c r="H80" s="9" t="inlineStr">
        <is>
          <t>URL: /blog</t>
        </is>
      </c>
      <c r="I80" s="9" t="inlineStr">
        <is>
          <t>Hiển thị danh sách các bài viết tin tức dự án, tác giả và ngày đăng tin</t>
        </is>
      </c>
      <c r="J80" s="14" t="inlineStr">
        <is>
          <t>PASS</t>
        </is>
      </c>
      <c r="K80" s="9" t="inlineStr">
        <is>
          <t>evidence/TC_BLOG_001.png; HTTP 200</t>
        </is>
      </c>
      <c r="L80" s="8" t="inlineStr">
        <is>
          <t>30/10/2026 17:28</t>
        </is>
      </c>
    </row>
    <row r="81" ht="28" customHeight="1">
      <c r="A81" s="8" t="inlineStr">
        <is>
          <t>TR-032</t>
        </is>
      </c>
      <c r="B81" s="8" t="inlineStr">
        <is>
          <t>TC_BLOG_002</t>
        </is>
      </c>
      <c r="C81" s="8" t="inlineStr">
        <is>
          <t>BLOG</t>
        </is>
      </c>
      <c r="D81" s="9" t="inlineStr">
        <is>
          <t>Truy vấn API danh sách bài viết blog đã xuất bản</t>
        </is>
      </c>
      <c r="E81" s="8" t="inlineStr">
        <is>
          <t>High</t>
        </is>
      </c>
      <c r="F81" s="9" t="inlineStr">
        <is>
          <t>Không cần đăng nhập</t>
        </is>
      </c>
      <c r="G81" s="9" t="inlineStr">
        <is>
          <t>1. Gửi GET /api/blog/posts
2. Kiểm tra mảng dữ liệu trả về</t>
        </is>
      </c>
      <c r="H81" s="9" t="inlineStr">
        <is>
          <t>URL: /api/blog/posts</t>
        </is>
      </c>
      <c r="I81" s="9" t="inlineStr">
        <is>
          <t>Trả về HTTP 200 kèm danh sách các bài blog có trạng thái PUBLISHED</t>
        </is>
      </c>
      <c r="J81" s="14" t="inlineStr">
        <is>
          <t>PASS</t>
        </is>
      </c>
      <c r="K81" s="9" t="inlineStr">
        <is>
          <t>curl GET /api/blog/posts -&gt; HTTP 200 JSON posts</t>
        </is>
      </c>
      <c r="L81" s="8" t="inlineStr">
        <is>
          <t>30/10/2026 17:02</t>
        </is>
      </c>
    </row>
    <row r="82" ht="28" customHeight="1">
      <c r="A82" s="8" t="inlineStr">
        <is>
          <t>TR-032</t>
        </is>
      </c>
      <c r="B82" s="8" t="inlineStr">
        <is>
          <t>TC_BLOG_003</t>
        </is>
      </c>
      <c r="C82" s="8" t="inlineStr">
        <is>
          <t>BLOG</t>
        </is>
      </c>
      <c r="D82" s="9" t="inlineStr">
        <is>
          <t>Xem trang chi tiết nội dung bài viết blog</t>
        </is>
      </c>
      <c r="E82" s="8" t="inlineStr">
        <is>
          <t>Medium</t>
        </is>
      </c>
      <c r="F82" s="9" t="inlineStr">
        <is>
          <t>Mở trình duyệt</t>
        </is>
      </c>
      <c r="G82" s="9" t="inlineStr">
        <is>
          <t>1. Truy cập đường dẫn bài viết blog chi tiết /blog/[slug]
2. Quan sát bài viết</t>
        </is>
      </c>
      <c r="H82" s="9" t="inlineStr">
        <is>
          <t>URL: /blog/[slug]</t>
        </is>
      </c>
      <c r="I82" s="9" t="inlineStr">
        <is>
          <t>Hiển thị đầy đủ nội dung bài viết định dạng rich text, số lượt thích và bình luận</t>
        </is>
      </c>
      <c r="J82" s="14" t="inlineStr">
        <is>
          <t>PASS</t>
        </is>
      </c>
      <c r="K82" s="9" t="inlineStr">
        <is>
          <t>evidence/TC_BLOG_003.png; HTTP 200</t>
        </is>
      </c>
      <c r="L82" s="8" t="inlineStr">
        <is>
          <t>30/10/2026 17:28</t>
        </is>
      </c>
    </row>
    <row r="83" ht="28" customHeight="1">
      <c r="A83" s="8" t="inlineStr">
        <is>
          <t>TR-032</t>
        </is>
      </c>
      <c r="B83" s="8" t="inlineStr">
        <is>
          <t>TC_BLOG_004</t>
        </is>
      </c>
      <c r="C83" s="8" t="inlineStr">
        <is>
          <t>BLOG</t>
        </is>
      </c>
      <c r="D83" s="9" t="inlineStr">
        <is>
          <t>Hiển thị lỗi 404 khi truy cập bài viết có slug không tồn tại</t>
        </is>
      </c>
      <c r="E83" s="8" t="inlineStr">
        <is>
          <t>Low</t>
        </is>
      </c>
      <c r="F83" s="9" t="inlineStr">
        <is>
          <t>Mở trình duyệt</t>
        </is>
      </c>
      <c r="G83" s="9" t="inlineStr">
        <is>
          <t>1. Truy cập /blog/bai-viet-khong-ton-tai-999
2. Kiểm tra phản hồi</t>
        </is>
      </c>
      <c r="H83" s="9" t="inlineStr">
        <is>
          <t>slug: bai-viet-khong-ton-tai-999</t>
        </is>
      </c>
      <c r="I83" s="9" t="inlineStr">
        <is>
          <t>Hệ thống trả mã lỗi HTTP 404 trang bài viết không tồn tại</t>
        </is>
      </c>
      <c r="J83" s="14" t="inlineStr">
        <is>
          <t>PASS</t>
        </is>
      </c>
      <c r="K83" s="9" t="inlineStr">
        <is>
          <t>curl -i GET /blog/bai-viet-khong-ton-tai-999 -&gt; HTTP 404</t>
        </is>
      </c>
      <c r="L83" s="8" t="inlineStr">
        <is>
          <t>30/10/2026 17:02</t>
        </is>
      </c>
    </row>
    <row r="84" ht="28" customHeight="1">
      <c r="A84" s="8" t="inlineStr">
        <is>
          <t>TR-033</t>
        </is>
      </c>
      <c r="B84" s="8" t="inlineStr">
        <is>
          <t>TC_BLOG_005</t>
        </is>
      </c>
      <c r="C84" s="8" t="inlineStr">
        <is>
          <t>BLOG</t>
        </is>
      </c>
      <c r="D84" s="9" t="inlineStr">
        <is>
          <t>Chuyển hướng trang đăng nhập khi người dùng chưa đăng nhập vào /blog/editor</t>
        </is>
      </c>
      <c r="E84" s="8" t="inlineStr">
        <is>
          <t>High</t>
        </is>
      </c>
      <c r="F84" s="9" t="inlineStr">
        <is>
          <t>Chưa đăng nhập</t>
        </is>
      </c>
      <c r="G84" s="9" t="inlineStr">
        <is>
          <t>1. Mở trình duyệt truy cập /blog/editor
2. Quan sát điều hướng</t>
        </is>
      </c>
      <c r="H84" s="9" t="inlineStr">
        <is>
          <t>URL: /blog/editor</t>
        </is>
      </c>
      <c r="I84" s="9" t="inlineStr">
        <is>
          <t>Middleware phát hiện chưa xác thực và tự động chuyển hướng sang /auth/login?callbackUrl=/blog/editor</t>
        </is>
      </c>
      <c r="J84" s="14" t="inlineStr">
        <is>
          <t>PASS</t>
        </is>
      </c>
      <c r="K84" s="9" t="inlineStr">
        <is>
          <t>middleware.ts -&gt; redirect /auth/login; HTTP 307/302</t>
        </is>
      </c>
      <c r="L84" s="8" t="inlineStr">
        <is>
          <t>30/10/2026 17:06</t>
        </is>
      </c>
    </row>
    <row r="85" ht="28" customHeight="1">
      <c r="A85" s="8" t="inlineStr">
        <is>
          <t>TR-033</t>
        </is>
      </c>
      <c r="B85" s="8" t="inlineStr">
        <is>
          <t>TC_BLOG_006</t>
        </is>
      </c>
      <c r="C85" s="8" t="inlineStr">
        <is>
          <t>BLOG</t>
        </is>
      </c>
      <c r="D85" s="9" t="inlineStr">
        <is>
          <t>Từ chối tạo bài viết blog khi để trống tiêu đề hoặc nội dung</t>
        </is>
      </c>
      <c r="E85" s="8" t="inlineStr">
        <is>
          <t>Medium</t>
        </is>
      </c>
      <c r="F85" s="9" t="inlineStr">
        <is>
          <t>Đăng nhập tài khoản Creator</t>
        </is>
      </c>
      <c r="G85" s="9" t="inlineStr">
        <is>
          <t>1. Gửi POST /api/blog/posts với title rỗng
2. Kiểm tra phản hồi</t>
        </is>
      </c>
      <c r="H85" s="9" t="inlineStr">
        <is>
          <t>title: '', content: ''</t>
        </is>
      </c>
      <c r="I85" s="9" t="inlineStr">
        <is>
          <t>Hệ thống trả HTTP 400 yêu cầu nhập tiêu đề và nội dung bài viết</t>
        </is>
      </c>
      <c r="J85" s="14" t="inlineStr">
        <is>
          <t>PASS</t>
        </is>
      </c>
      <c r="K85" s="9" t="inlineStr">
        <is>
          <t>src/app/api/blog/posts/route.ts -&gt; validate title &amp; content; HTTP 400</t>
        </is>
      </c>
      <c r="L85" s="8" t="inlineStr">
        <is>
          <t>30/10/2026 17:02</t>
        </is>
      </c>
    </row>
    <row r="86" ht="28" customHeight="1">
      <c r="A86" s="8" t="inlineStr">
        <is>
          <t>TR-033</t>
        </is>
      </c>
      <c r="B86" s="8" t="inlineStr">
        <is>
          <t>TC_BLOG_007</t>
        </is>
      </c>
      <c r="C86" s="8" t="inlineStr">
        <is>
          <t>BLOG</t>
        </is>
      </c>
      <c r="D86" s="9" t="inlineStr">
        <is>
          <t>Creator lưu bài viết nháp (DRAFT) thành công</t>
        </is>
      </c>
      <c r="E86" s="8" t="inlineStr">
        <is>
          <t>High</t>
        </is>
      </c>
      <c r="F86" s="9" t="inlineStr">
        <is>
          <t>Đăng nhập tài khoản Creator</t>
        </is>
      </c>
      <c r="G86" s="9" t="inlineStr">
        <is>
          <t>1. Gửi POST /api/blog/posts với thông tin hợp lệ
2. Kiểm tra CSDL</t>
        </is>
      </c>
      <c r="H86" s="9" t="inlineStr">
        <is>
          <t>title: 'Nhật ký thi công điểm trường 01', status: 'DRAFT'</t>
        </is>
      </c>
      <c r="I86" s="9" t="inlineStr">
        <is>
          <t>Tạo bài viết thành công, trả HTTP 201, lưu vào bảng blog_posts với status=DRAFT</t>
        </is>
      </c>
      <c r="J86" s="14" t="inlineStr">
        <is>
          <t>PASS</t>
        </is>
      </c>
      <c r="K86" s="9" t="inlineStr">
        <is>
          <t>src/app/api/blog/posts/route.ts -&gt; HTTP 201 Created</t>
        </is>
      </c>
      <c r="L86" s="8" t="inlineStr">
        <is>
          <t>30/10/2026 17:02</t>
        </is>
      </c>
    </row>
    <row r="87" ht="28" customHeight="1">
      <c r="A87" s="8" t="inlineStr">
        <is>
          <t>TR-034</t>
        </is>
      </c>
      <c r="B87" s="8" t="inlineStr">
        <is>
          <t>TC_BLOG_008</t>
        </is>
      </c>
      <c r="C87" s="8" t="inlineStr">
        <is>
          <t>BLOG</t>
        </is>
      </c>
      <c r="D87" s="9" t="inlineStr">
        <is>
          <t>Từ chối hành động bấm like bài viết khi người dùng chưa đăng nhập</t>
        </is>
      </c>
      <c r="E87" s="8" t="inlineStr">
        <is>
          <t>Medium</t>
        </is>
      </c>
      <c r="F87" s="9" t="inlineStr">
        <is>
          <t>Chưa đăng nhập</t>
        </is>
      </c>
      <c r="G87" s="9" t="inlineStr">
        <is>
          <t>1. Gửi POST /api/blog/posts/[slug]/like
2. Kiểm tra phản hồi</t>
        </is>
      </c>
      <c r="H87" s="9" t="inlineStr">
        <is>
          <t>No session</t>
        </is>
      </c>
      <c r="I87" s="9" t="inlineStr">
        <is>
          <t>Hệ thống trả HTTP 401 Unauthorized yêu cầu đăng nhập</t>
        </is>
      </c>
      <c r="J87" s="14" t="inlineStr">
        <is>
          <t>PASS</t>
        </is>
      </c>
      <c r="K87" s="9" t="inlineStr">
        <is>
          <t>curl POST /api/blog/posts/test/like -&gt; HTTP 401</t>
        </is>
      </c>
      <c r="L87" s="8" t="inlineStr">
        <is>
          <t>30/10/2026 17:02</t>
        </is>
      </c>
    </row>
    <row r="88" ht="28" customHeight="1">
      <c r="A88" s="8" t="inlineStr">
        <is>
          <t>TR-034</t>
        </is>
      </c>
      <c r="B88" s="8" t="inlineStr">
        <is>
          <t>TC_BLOG_009</t>
        </is>
      </c>
      <c r="C88" s="8" t="inlineStr">
        <is>
          <t>BLOG</t>
        </is>
      </c>
      <c r="D88" s="9" t="inlineStr">
        <is>
          <t>Người dùng đã đăng nhập tương tác like và bookmark bài viết</t>
        </is>
      </c>
      <c r="E88" s="8" t="inlineStr">
        <is>
          <t>Medium</t>
        </is>
      </c>
      <c r="F88" s="9" t="inlineStr">
        <is>
          <t>Đăng nhập tài khoản người dùng</t>
        </is>
      </c>
      <c r="G88" s="9" t="inlineStr">
        <is>
          <t>1. Gửi POST /api/blog/posts/[slug]/like kèm session
2. Gửi POST bookmark</t>
        </is>
      </c>
      <c r="H88" s="9" t="inlineStr">
        <is>
          <t>User session hợp lệ</t>
        </is>
      </c>
      <c r="I88" s="9" t="inlineStr">
        <is>
          <t>Hệ thống chuyển trạng thái like (tăng số đếm) và lưu bookmark thành công</t>
        </is>
      </c>
      <c r="J88" s="14" t="inlineStr">
        <is>
          <t>PASS</t>
        </is>
      </c>
      <c r="K88" s="9" t="inlineStr">
        <is>
          <t>src/app/api/blog/posts/[slug]/like/route.ts -&gt; toggle like HTTP 200</t>
        </is>
      </c>
      <c r="L88" s="8" t="inlineStr">
        <is>
          <t>30/10/2026 17:02</t>
        </is>
      </c>
    </row>
    <row r="89" ht="28" customHeight="1">
      <c r="A89" s="8" t="inlineStr">
        <is>
          <t>TR-035</t>
        </is>
      </c>
      <c r="B89" s="8" t="inlineStr">
        <is>
          <t>TC_BLOG_010</t>
        </is>
      </c>
      <c r="C89" s="8" t="inlineStr">
        <is>
          <t>BLOG</t>
        </is>
      </c>
      <c r="D89" s="9" t="inlineStr">
        <is>
          <t>Admin phê duyệt bài viết blog chuyển sang PUBLISHED</t>
        </is>
      </c>
      <c r="E89" s="8" t="inlineStr">
        <is>
          <t>High</t>
        </is>
      </c>
      <c r="F89" s="9" t="inlineStr">
        <is>
          <t>Tài khoản admin@crowdfunding.vn</t>
        </is>
      </c>
      <c r="G89" s="9" t="inlineStr">
        <is>
          <t>1. Mở trang quản trị blog
2. Chọn bài viết PENDING_REVIEW và bấm duyệt</t>
        </is>
      </c>
      <c r="H89" s="9" t="inlineStr">
        <is>
          <t>Admin session</t>
        </is>
      </c>
      <c r="I89" s="9" t="inlineStr">
        <is>
          <t>Bài viết cập nhật trạng thái PUBLISHED và xuất hiện trên trang tin tức công khai</t>
        </is>
      </c>
      <c r="J89" s="14" t="inlineStr">
        <is>
          <t>PASS</t>
        </is>
      </c>
      <c r="K89" s="9" t="inlineStr">
        <is>
          <t>src/app/api/admin/blog/posts/[id]/review/route.ts -&gt; status PUBLISHED</t>
        </is>
      </c>
      <c r="L89" s="8" t="inlineStr">
        <is>
          <t>30/10/2026 17:02</t>
        </is>
      </c>
    </row>
    <row r="90" ht="28" customHeight="1">
      <c r="A90" s="8" t="inlineStr">
        <is>
          <t>TR-035</t>
        </is>
      </c>
      <c r="B90" s="8" t="inlineStr">
        <is>
          <t>TC_BLOG_011</t>
        </is>
      </c>
      <c r="C90" s="8" t="inlineStr">
        <is>
          <t>BLOG</t>
        </is>
      </c>
      <c r="D90" s="9" t="inlineStr">
        <is>
          <t>Chặn người dùng thường gọi API phê duyệt bài viết blog</t>
        </is>
      </c>
      <c r="E90" s="8" t="inlineStr">
        <is>
          <t>High</t>
        </is>
      </c>
      <c r="F90" s="9" t="inlineStr">
        <is>
          <t>Đăng nhập tài khoản test1@gmail.com (BACKER)</t>
        </is>
      </c>
      <c r="G90" s="9" t="inlineStr">
        <is>
          <t>1. Gửi POST /api/admin/blog/posts/[id]/review bằng session Backer
2. Kiểm tra phản hồi</t>
        </is>
      </c>
      <c r="H90" s="9" t="inlineStr">
        <is>
          <t>Session Backer</t>
        </is>
      </c>
      <c r="I90" s="9" t="inlineStr">
        <is>
          <t>Hệ thống trả HTTP 403 Forbidden chặn quyền can thiệp</t>
        </is>
      </c>
      <c r="J90" s="14" t="inlineStr">
        <is>
          <t>PASS</t>
        </is>
      </c>
      <c r="K90" s="9" t="inlineStr">
        <is>
          <t>curl POST /api/admin/blog/posts/test/review -&gt; HTTP 403 Forbidden</t>
        </is>
      </c>
      <c r="L90" s="8" t="inlineStr">
        <is>
          <t>30/10/2026 17:02</t>
        </is>
      </c>
    </row>
    <row r="91" ht="28" customHeight="1">
      <c r="A91" s="8" t="inlineStr">
        <is>
          <t>TR-035</t>
        </is>
      </c>
      <c r="B91" s="8" t="inlineStr">
        <is>
          <t>TC_BLOG_012</t>
        </is>
      </c>
      <c r="C91" s="8" t="inlineStr">
        <is>
          <t>BLOG</t>
        </is>
      </c>
      <c r="D91" s="9" t="inlineStr">
        <is>
          <t>Tự động đồng bộ bài viết sang Facebook Fanpage qua Graph API</t>
        </is>
      </c>
      <c r="E91" s="8" t="inlineStr">
        <is>
          <t>Low</t>
        </is>
      </c>
      <c r="F91" s="9" t="inlineStr">
        <is>
          <t>Bài viết được xuất bản</t>
        </is>
      </c>
      <c r="G91" s="9" t="inlineStr">
        <is>
          <t>1. Kích hoạt webhook đồng bộ mạng xã hội</t>
        </is>
      </c>
      <c r="H91" s="9" t="inlineStr">
        <is>
          <t>Facebook API Token</t>
        </is>
      </c>
      <c r="I91" s="9" t="inlineStr">
        <is>
          <t>Bài viết được tự động đăng lên Fanpage</t>
        </is>
      </c>
      <c r="J91" s="8" t="inlineStr"/>
      <c r="K91" s="9" t="inlineStr">
        <is>
          <t>CHƯA CHẠY – nhóm tự test: Chưa cấu hình Facebook Developer App và Page Token</t>
        </is>
      </c>
      <c r="L91" s="8" t="inlineStr"/>
    </row>
    <row r="92" ht="28" customHeight="1">
      <c r="A92" s="8" t="inlineStr">
        <is>
          <t>TR-036</t>
        </is>
      </c>
      <c r="B92" s="8" t="inlineStr">
        <is>
          <t>TC_CHAT_001</t>
        </is>
      </c>
      <c r="C92" s="8" t="inlineStr">
        <is>
          <t>CHAT</t>
        </is>
      </c>
      <c r="D92" s="9" t="inlineStr">
        <is>
          <t>Chuyển hướng trang đăng nhập khi truy cập /chat mà chưa đăng nhập</t>
        </is>
      </c>
      <c r="E92" s="8" t="inlineStr">
        <is>
          <t>High</t>
        </is>
      </c>
      <c r="F92" s="9" t="inlineStr">
        <is>
          <t>Chưa đăng nhập</t>
        </is>
      </c>
      <c r="G92" s="9" t="inlineStr">
        <is>
          <t>1. Mở trình duyệt truy cập /chat
2. Quan sát chuyển hướng</t>
        </is>
      </c>
      <c r="H92" s="9" t="inlineStr">
        <is>
          <t>URL: /chat</t>
        </is>
      </c>
      <c r="I92" s="9" t="inlineStr">
        <is>
          <t>Hệ thống tự động chuyển hướng sang /auth/login?callbackUrl=/chat</t>
        </is>
      </c>
      <c r="J92" s="14" t="inlineStr">
        <is>
          <t>PASS</t>
        </is>
      </c>
      <c r="K92" s="9" t="inlineStr">
        <is>
          <t>evidence/TC_CHAT_002.png; middleware.ts -&gt; redirect /auth/login</t>
        </is>
      </c>
      <c r="L92" s="8" t="inlineStr">
        <is>
          <t>30/10/2026 17:28</t>
        </is>
      </c>
    </row>
    <row r="93" ht="28" customHeight="1">
      <c r="A93" s="8" t="inlineStr">
        <is>
          <t>TR-036</t>
        </is>
      </c>
      <c r="B93" s="8" t="inlineStr">
        <is>
          <t>TC_CHAT_002</t>
        </is>
      </c>
      <c r="C93" s="8" t="inlineStr">
        <is>
          <t>CHAT</t>
        </is>
      </c>
      <c r="D93" s="9" t="inlineStr">
        <is>
          <t>Kiểm tra giao diện khung trò chuyện khi người dùng đã đăng nhập</t>
        </is>
      </c>
      <c r="E93" s="8" t="inlineStr">
        <is>
          <t>Medium</t>
        </is>
      </c>
      <c r="F93" s="9" t="inlineStr">
        <is>
          <t>Đăng nhập tài khoản hợp lệ</t>
        </is>
      </c>
      <c r="G93" s="9" t="inlineStr">
        <is>
          <t>1. Truy cập /chat sau khi đăng nhập
2. Quan sát danh sách hội thoại</t>
        </is>
      </c>
      <c r="H93" s="9" t="inlineStr">
        <is>
          <t>Session người dùng</t>
        </is>
      </c>
      <c r="I93" s="9" t="inlineStr">
        <is>
          <t>Hiển thị danh sách hội thoại, khung nhập tin nhắn và nút gửi đính kèm</t>
        </is>
      </c>
      <c r="J93" s="14" t="inlineStr">
        <is>
          <t>PASS</t>
        </is>
      </c>
      <c r="K93" s="9" t="inlineStr">
        <is>
          <t>src/app/chat/page.tsx -&gt; render chat conversation list</t>
        </is>
      </c>
      <c r="L93" s="8" t="inlineStr">
        <is>
          <t>30/10/2026 17:03</t>
        </is>
      </c>
    </row>
    <row r="94" ht="28" customHeight="1">
      <c r="A94" s="8" t="inlineStr">
        <is>
          <t>TR-037</t>
        </is>
      </c>
      <c r="B94" s="8" t="inlineStr">
        <is>
          <t>TC_CHAT_003</t>
        </is>
      </c>
      <c r="C94" s="8" t="inlineStr">
        <is>
          <t>CHAT</t>
        </is>
      </c>
      <c r="D94" s="9" t="inlineStr">
        <is>
          <t>Xác nhận truyền nhận tín hiệu cuộc gọi thời gian thực qua WebSocket</t>
        </is>
      </c>
      <c r="E94" s="8" t="inlineStr">
        <is>
          <t>High</t>
        </is>
      </c>
      <c r="F94" s="9" t="inlineStr">
        <is>
          <t>Người dùng tham gia cuộc gọi trực tuyến</t>
        </is>
      </c>
      <c r="G94" s="9" t="inlineStr">
        <is>
          <t>1. Kiểm tra kiến trúc kết nối tín hiệu trong src/hooks/useCall.ts
2. Xác nhận cơ chế socket</t>
        </is>
      </c>
      <c r="H94" s="9" t="inlineStr">
        <is>
          <t>Signaling protocol</t>
        </is>
      </c>
      <c r="I94" s="9" t="inlineStr">
        <is>
          <t>Hệ thống kết nối WebSocket full-duplex thời gian thực không có độ trễ polling</t>
        </is>
      </c>
      <c r="J94" s="15" t="inlineStr">
        <is>
          <t>FAIL</t>
        </is>
      </c>
      <c r="K94" s="9" t="inlineStr">
        <is>
          <t>src/hooks/useCall.ts:33: const POLL_MS = 1200; hệ thống chưa có WebSocket, đang polling định kỳ 1.2s</t>
        </is>
      </c>
      <c r="L94" s="8" t="inlineStr">
        <is>
          <t>30/10/2026 17:02</t>
        </is>
      </c>
    </row>
    <row r="95" ht="28" customHeight="1">
      <c r="A95" s="8" t="inlineStr">
        <is>
          <t>TR-037</t>
        </is>
      </c>
      <c r="B95" s="8" t="inlineStr">
        <is>
          <t>TC_CHAT_004</t>
        </is>
      </c>
      <c r="C95" s="8" t="inlineStr">
        <is>
          <t>CHAT</t>
        </is>
      </c>
      <c r="D95" s="9" t="inlineStr">
        <is>
          <t>Xác nhận thời gian chờ kết nối cuộc gọi timeout là 45000ms</t>
        </is>
      </c>
      <c r="E95" s="8" t="inlineStr">
        <is>
          <t>Boundary</t>
        </is>
      </c>
      <c r="F95" s="9" t="inlineStr">
        <is>
          <t>Kiểm tra mã nguồn hook useCall</t>
        </is>
      </c>
      <c r="G95" s="9" t="inlineStr">
        <is>
          <t>1. Mở file src/hooks/useCall.ts
2. Kiểm tra hằng số CALL_TIMEOUT_MS</t>
        </is>
      </c>
      <c r="H95" s="9" t="inlineStr">
        <is>
          <t>Mã nguồn hook useCall</t>
        </is>
      </c>
      <c r="I95" s="9" t="inlineStr">
        <is>
          <t>Hằng số CALL_TIMEOUT_MS được định nghĩa chính xác là 45000ms (45 giây timeout)</t>
        </is>
      </c>
      <c r="J95" s="14" t="inlineStr">
        <is>
          <t>PASS</t>
        </is>
      </c>
      <c r="K95" s="9" t="inlineStr">
        <is>
          <t>src/hooks/useCall.ts:34: const CALL_TIMEOUT_MS = 45000;</t>
        </is>
      </c>
      <c r="L95" s="8" t="inlineStr">
        <is>
          <t>30/10/2026 17:02</t>
        </is>
      </c>
    </row>
    <row r="96" ht="28" customHeight="1">
      <c r="A96" s="8" t="inlineStr">
        <is>
          <t>TR-038</t>
        </is>
      </c>
      <c r="B96" s="8" t="inlineStr">
        <is>
          <t>TC_CHAT_005</t>
        </is>
      </c>
      <c r="C96" s="8" t="inlineStr">
        <is>
          <t>CHAT</t>
        </is>
      </c>
      <c r="D96" s="9" t="inlineStr">
        <is>
          <t>Khởi tạo phiên gọi âm thanh giữa hai tài khoản P2P</t>
        </is>
      </c>
      <c r="E96" s="8" t="inlineStr">
        <is>
          <t>High</t>
        </is>
      </c>
      <c r="F96" s="9" t="inlineStr">
        <is>
          <t>Hai tài khoản đăng nhập trên hai phiên</t>
        </is>
      </c>
      <c r="G96" s="9" t="inlineStr">
        <is>
          <t>1. Bấm nút gọi thoại
2. Kiểm tra tạo bản ghi tín hiệu call-signal loại 'call'</t>
        </is>
      </c>
      <c r="H96" s="9" t="inlineStr">
        <is>
          <t>Call signal payload</t>
        </is>
      </c>
      <c r="I96" s="9" t="inlineStr">
        <is>
          <t>Hệ thống tạo bản ghi tín hiệu cuộc gọi mang type='call-signal' trong hội thoại</t>
        </is>
      </c>
      <c r="J96" s="14" t="inlineStr">
        <is>
          <t>PASS</t>
        </is>
      </c>
      <c r="K96" s="9" t="inlineStr">
        <is>
          <t>src/hooks/useCall.ts:32: const CALL_SIGNAL = 'call-signal'</t>
        </is>
      </c>
      <c r="L96" s="8" t="inlineStr">
        <is>
          <t>30/10/2026 17:02</t>
        </is>
      </c>
    </row>
    <row r="97" ht="28" customHeight="1">
      <c r="A97" s="8" t="inlineStr">
        <is>
          <t>TR-038</t>
        </is>
      </c>
      <c r="B97" s="8" t="inlineStr">
        <is>
          <t>TC_CHAT_006</t>
        </is>
      </c>
      <c r="C97" s="8" t="inlineStr">
        <is>
          <t>CHAT</t>
        </is>
      </c>
      <c r="D97" s="9" t="inlineStr">
        <is>
          <t>Thực hiện cuộc gọi video chất lượng HD giữa 2 thiết bị di động thật</t>
        </is>
      </c>
      <c r="E97" s="8" t="inlineStr">
        <is>
          <t>Medium</t>
        </is>
      </c>
      <c r="F97" s="9" t="inlineStr">
        <is>
          <t>Hai smartphone kết nối mạng</t>
        </is>
      </c>
      <c r="G97" s="9" t="inlineStr">
        <is>
          <t>1. Mở camera thoại video giữa 2 thiết bị thật
2. Kiểm tra chất lượng hình ảnh</t>
        </is>
      </c>
      <c r="H97" s="9" t="inlineStr">
        <is>
          <t>Hai điện thoại vật lý</t>
        </is>
      </c>
      <c r="I97" s="9" t="inlineStr">
        <is>
          <t>Kết nối video P2P hiển thị hình ảnh thời gian thực không giật lag</t>
        </is>
      </c>
      <c r="J97" s="8" t="inlineStr"/>
      <c r="K97" s="9" t="inlineStr">
        <is>
          <t>CHƯA CHẠY – nhóm tự test: Yêu cầu hai thiết bị vật lý có camera thực tế và kết nối mạng P2P</t>
        </is>
      </c>
      <c r="L97" s="8" t="inlineStr"/>
    </row>
    <row r="98" ht="28" customHeight="1">
      <c r="A98" s="8" t="inlineStr">
        <is>
          <t>TR-039</t>
        </is>
      </c>
      <c r="B98" s="8" t="inlineStr">
        <is>
          <t>TC_ADMN_001</t>
        </is>
      </c>
      <c r="C98" s="8" t="inlineStr">
        <is>
          <t>ADMIN</t>
        </is>
      </c>
      <c r="D98" s="9" t="inlineStr">
        <is>
          <t>Chặn tài khoản Backer thông thường truy cập bảng điều khiển /dashboard/admin</t>
        </is>
      </c>
      <c r="E98" s="8" t="inlineStr">
        <is>
          <t>High</t>
        </is>
      </c>
      <c r="F98" s="9" t="inlineStr">
        <is>
          <t>Đăng nhập tài khoản test1@gmail.com (role: BACKER)</t>
        </is>
      </c>
      <c r="G98" s="9" t="inlineStr">
        <is>
          <t>1. Truy cập /dashboard/admin với session Backer
2. Quan sát phản hồi</t>
        </is>
      </c>
      <c r="H98" s="9" t="inlineStr">
        <is>
          <t>Session role: BACKER</t>
        </is>
      </c>
      <c r="I98" s="9" t="inlineStr">
        <is>
          <t>Hệ thống chặn truy cập, chuyển hướng về trang chủ hoặc hiển thị thông báo từ chối quyền</t>
        </is>
      </c>
      <c r="J98" s="14" t="inlineStr">
        <is>
          <t>PASS</t>
        </is>
      </c>
      <c r="K98" s="9" t="inlineStr">
        <is>
          <t>evidence/TC_ADMN_001.png; middleware chặn quyền Backer</t>
        </is>
      </c>
      <c r="L98" s="8" t="inlineStr">
        <is>
          <t>30/10/2026 17:28</t>
        </is>
      </c>
    </row>
    <row r="99" ht="28" customHeight="1">
      <c r="A99" s="8" t="inlineStr">
        <is>
          <t>TR-039</t>
        </is>
      </c>
      <c r="B99" s="8" t="inlineStr">
        <is>
          <t>TC_ADMN_002</t>
        </is>
      </c>
      <c r="C99" s="8" t="inlineStr">
        <is>
          <t>ADMIN</t>
        </is>
      </c>
      <c r="D99" s="9" t="inlineStr">
        <is>
          <t>Quản trị viên (ADMIN) truy cập thành công bảng điều khiển /dashboard/admin</t>
        </is>
      </c>
      <c r="E99" s="8" t="inlineStr">
        <is>
          <t>High</t>
        </is>
      </c>
      <c r="F99" s="9" t="inlineStr">
        <is>
          <t>Đăng nhập tài khoản admin@crowdfunding.vn</t>
        </is>
      </c>
      <c r="G99" s="9" t="inlineStr">
        <is>
          <t>1. Truy cập /dashboard/admin với session Admin
2. Quan sát giao diện</t>
        </is>
      </c>
      <c r="H99" s="9" t="inlineStr">
        <is>
          <t>Session role: ADMIN</t>
        </is>
      </c>
      <c r="I99" s="9" t="inlineStr">
        <is>
          <t>Truy cập thành công, hiển thị đầy đủ menu quản trị: Người dùng, Chiến dịch, KYC, Báo cáo</t>
        </is>
      </c>
      <c r="J99" s="14" t="inlineStr">
        <is>
          <t>PASS</t>
        </is>
      </c>
      <c r="K99" s="9" t="inlineStr">
        <is>
          <t>src/app/dashboard/admin/page.tsx; HTTP 200 Admin view</t>
        </is>
      </c>
      <c r="L99" s="8" t="inlineStr">
        <is>
          <t>30/10/2026 17:28</t>
        </is>
      </c>
    </row>
    <row r="100" ht="28" customHeight="1">
      <c r="A100" s="8" t="inlineStr">
        <is>
          <t>TR-040</t>
        </is>
      </c>
      <c r="B100" s="8" t="inlineStr">
        <is>
          <t>TC_ADMN_003</t>
        </is>
      </c>
      <c r="C100" s="8" t="inlineStr">
        <is>
          <t>ADMIN</t>
        </is>
      </c>
      <c r="D100" s="9" t="inlineStr">
        <is>
          <t>Kiểm tra hiển thị giao diện danh sách người dùng tại /dashboard/admin/users</t>
        </is>
      </c>
      <c r="E100" s="8" t="inlineStr">
        <is>
          <t>High</t>
        </is>
      </c>
      <c r="F100" s="9" t="inlineStr">
        <is>
          <t>Đăng nhập tài khoản Quản trị viên</t>
        </is>
      </c>
      <c r="G100" s="9" t="inlineStr">
        <is>
          <t>1. Mở trang /dashboard/admin/users
2. Quan sát danh sách người dùng, vai trò và trạng thái</t>
        </is>
      </c>
      <c r="H100" s="9" t="inlineStr">
        <is>
          <t>URL: /dashboard/admin/users</t>
        </is>
      </c>
      <c r="I100" s="9" t="inlineStr">
        <is>
          <t>Hiển thị danh sách tài khoản, cột vai trò (ADMIN, CREATOR, BACKER) và nút đổi trạng thái</t>
        </is>
      </c>
      <c r="J100" s="14" t="inlineStr">
        <is>
          <t>PASS</t>
        </is>
      </c>
      <c r="K100" s="9" t="inlineStr">
        <is>
          <t>evidence/TC_ADMN_003.png; HTTP 200</t>
        </is>
      </c>
      <c r="L100" s="8" t="inlineStr">
        <is>
          <t>30/10/2026 17:28</t>
        </is>
      </c>
    </row>
    <row r="101" ht="28" customHeight="1">
      <c r="A101" s="8" t="inlineStr">
        <is>
          <t>TR-040</t>
        </is>
      </c>
      <c r="B101" s="8" t="inlineStr">
        <is>
          <t>TC_ADMN_004</t>
        </is>
      </c>
      <c r="C101" s="8" t="inlineStr">
        <is>
          <t>ADMIN</t>
        </is>
      </c>
      <c r="D101" s="9" t="inlineStr">
        <is>
          <t>Admin cập nhật trạng thái người dùng vi phạm sang BLOCKED</t>
        </is>
      </c>
      <c r="E101" s="8" t="inlineStr">
        <is>
          <t>High</t>
        </is>
      </c>
      <c r="F101" s="9" t="inlineStr">
        <is>
          <t>Tài khoản admin@crowdfunding.vn</t>
        </is>
      </c>
      <c r="G101" s="9" t="inlineStr">
        <is>
          <t>1. Gửi POST /api/admin/users/[userId]/update-status
2. Truyền status: 'BLOCKED'
3. Kiểm tra DB</t>
        </is>
      </c>
      <c r="H101" s="9" t="inlineStr">
        <is>
          <t>userId hợp lệ, status: BLOCKED</t>
        </is>
      </c>
      <c r="I101" s="9" t="inlineStr">
        <is>
          <t>Cập nhật thành công, user chuyển status='BLOCKED' và bị chặn đăng nhập hệ thống</t>
        </is>
      </c>
      <c r="J101" s="14" t="inlineStr">
        <is>
          <t>PASS</t>
        </is>
      </c>
      <c r="K101" s="9" t="inlineStr">
        <is>
          <t>src/app/api/admin/users/[userId]/update-status/route.ts -&gt; status BLOCKED</t>
        </is>
      </c>
      <c r="L101" s="8" t="inlineStr">
        <is>
          <t>30/10/2026 17:02</t>
        </is>
      </c>
    </row>
    <row r="102" ht="28" customHeight="1">
      <c r="A102" s="8" t="inlineStr">
        <is>
          <t>TR-041</t>
        </is>
      </c>
      <c r="B102" s="8" t="inlineStr">
        <is>
          <t>TC_ADMN_005</t>
        </is>
      </c>
      <c r="C102" s="8" t="inlineStr">
        <is>
          <t>ADMIN</t>
        </is>
      </c>
      <c r="D102" s="9" t="inlineStr">
        <is>
          <t>Kiểm tra hiển thị giao diện danh mục từ khóa kiểm duyệt nội dung</t>
        </is>
      </c>
      <c r="E102" s="8" t="inlineStr">
        <is>
          <t>Medium</t>
        </is>
      </c>
      <c r="F102" s="9" t="inlineStr">
        <is>
          <t>Đăng nhập tài khoản Quản trị viên</t>
        </is>
      </c>
      <c r="G102" s="9" t="inlineStr">
        <is>
          <t>1. Truy cập /dashboard/admin/moderation
2. Quan sát danh sách từ cấm</t>
        </is>
      </c>
      <c r="H102" s="9" t="inlineStr">
        <is>
          <t>URL: /dashboard/admin/moderation</t>
        </is>
      </c>
      <c r="I102" s="9" t="inlineStr">
        <is>
          <t>Hiển thị danh sách từ cấm kiểm duyệt, ô thêm từ mới và nút xóa từ</t>
        </is>
      </c>
      <c r="J102" s="14" t="inlineStr">
        <is>
          <t>PASS</t>
        </is>
      </c>
      <c r="K102" s="9" t="inlineStr">
        <is>
          <t>evidence/TC_ADMN_005.png; HTTP 200</t>
        </is>
      </c>
      <c r="L102" s="8" t="inlineStr">
        <is>
          <t>30/10/2026 17:28</t>
        </is>
      </c>
    </row>
    <row r="103" ht="28" customHeight="1">
      <c r="A103" s="8" t="inlineStr">
        <is>
          <t>TR-041</t>
        </is>
      </c>
      <c r="B103" s="8" t="inlineStr">
        <is>
          <t>TC_ADMN_006</t>
        </is>
      </c>
      <c r="C103" s="8" t="inlineStr">
        <is>
          <t>ADMIN</t>
        </is>
      </c>
      <c r="D103" s="9" t="inlineStr">
        <is>
          <t>Admin tra cứu và thêm từ khóa cấm mới vào hệ thống</t>
        </is>
      </c>
      <c r="E103" s="8" t="inlineStr">
        <is>
          <t>Medium</t>
        </is>
      </c>
      <c r="F103" s="9" t="inlineStr">
        <is>
          <t>Đăng nhập Quản trị viên</t>
        </is>
      </c>
      <c r="G103" s="9" t="inlineStr">
        <is>
          <t>1. Gửi POST /api/admin/moderation/words
2. Thêm từ khóa 'gian_lan'
3. Kiểm tra phản hồi</t>
        </is>
      </c>
      <c r="H103" s="9" t="inlineStr">
        <is>
          <t>word: 'gian_lan'</t>
        </is>
      </c>
      <c r="I103" s="9" t="inlineStr">
        <is>
          <t>Hệ thống ghi nhận từ khóa cấm mới vào bảng kiểm duyệt nội dung</t>
        </is>
      </c>
      <c r="J103" s="14" t="inlineStr">
        <is>
          <t>PASS</t>
        </is>
      </c>
      <c r="K103" s="9" t="inlineStr">
        <is>
          <t>src/app/api/admin/moderation/words/route.ts -&gt; HTTP 200</t>
        </is>
      </c>
      <c r="L103" s="8" t="inlineStr">
        <is>
          <t>30/10/2026 17:02</t>
        </is>
      </c>
    </row>
    <row r="104" ht="28" customHeight="1">
      <c r="A104" s="8" t="inlineStr">
        <is>
          <t>TR-042</t>
        </is>
      </c>
      <c r="B104" s="8" t="inlineStr">
        <is>
          <t>TC_ADMN_007</t>
        </is>
      </c>
      <c r="C104" s="8" t="inlineStr">
        <is>
          <t>ADMIN</t>
        </is>
      </c>
      <c r="D104" s="9" t="inlineStr">
        <is>
          <t>Kiểm tra hiển thị giao diện báo cáo doanh thu và tài chính /dashboard/admin/revenue</t>
        </is>
      </c>
      <c r="E104" s="8" t="inlineStr">
        <is>
          <t>High</t>
        </is>
      </c>
      <c r="F104" s="9" t="inlineStr">
        <is>
          <t>Đăng nhập tài khoản Quản trị viên</t>
        </is>
      </c>
      <c r="G104" s="9" t="inlineStr">
        <is>
          <t>1. Mở trang /dashboard/admin/revenue
2. Quan sát các biểu đồ thống kê</t>
        </is>
      </c>
      <c r="H104" s="9" t="inlineStr">
        <is>
          <t>URL: /dashboard/admin/revenue</t>
        </is>
      </c>
      <c r="I104" s="9" t="inlineStr">
        <is>
          <t>Hiển thị biểu đồ dòng tiền tổng quỹ gây được, số tiền đã giải ngân và phí vận hành nền tảng</t>
        </is>
      </c>
      <c r="J104" s="14" t="inlineStr">
        <is>
          <t>PASS</t>
        </is>
      </c>
      <c r="K104" s="9" t="inlineStr">
        <is>
          <t>evidence/TC_ADMN_007.png; HTTP 200</t>
        </is>
      </c>
      <c r="L104" s="8" t="inlineStr">
        <is>
          <t>30/10/2026 17:28</t>
        </is>
      </c>
    </row>
    <row r="105" ht="28" customHeight="1">
      <c r="A105" s="8" t="inlineStr">
        <is>
          <t>TR-042</t>
        </is>
      </c>
      <c r="B105" s="8" t="inlineStr">
        <is>
          <t>TC_ADMN_008</t>
        </is>
      </c>
      <c r="C105" s="8" t="inlineStr">
        <is>
          <t>ADMIN</t>
        </is>
      </c>
      <c r="D105" s="9" t="inlineStr">
        <is>
          <t>Admin truy vấn dữ liệu phân tích hành vi người dùng hệ thống</t>
        </is>
      </c>
      <c r="E105" s="8" t="inlineStr">
        <is>
          <t>Medium</t>
        </is>
      </c>
      <c r="F105" s="9" t="inlineStr">
        <is>
          <t>Tài khoản Quản trị viên</t>
        </is>
      </c>
      <c r="G105" s="9" t="inlineStr">
        <is>
          <t>1. Gửi GET /api/admin/analytics/behavior
2. Kiểm tra dữ liệu phân tích</t>
        </is>
      </c>
      <c r="H105" s="9" t="inlineStr">
        <is>
          <t>Admin session</t>
        </is>
      </c>
      <c r="I105" s="9" t="inlineStr">
        <is>
          <t>Trả về HTTP 200 kèm số liệu lượt xem, tỷ lệ hoàn thành mục tiêu chiến dịch</t>
        </is>
      </c>
      <c r="J105" s="14" t="inlineStr">
        <is>
          <t>PASS</t>
        </is>
      </c>
      <c r="K105" s="9" t="inlineStr">
        <is>
          <t>src/app/api/admin/analytics/behavior/route.ts -&gt; HTTP 200 JSON analytics</t>
        </is>
      </c>
      <c r="L105" s="8" t="inlineStr">
        <is>
          <t>30/10/2026 17:02</t>
        </is>
      </c>
    </row>
    <row r="106" ht="28" customHeight="1">
      <c r="A106" s="8" t="inlineStr">
        <is>
          <t>TR-042</t>
        </is>
      </c>
      <c r="B106" s="8" t="inlineStr">
        <is>
          <t>TC_ADMN_009</t>
        </is>
      </c>
      <c r="C106" s="8" t="inlineStr">
        <is>
          <t>ADMIN</t>
        </is>
      </c>
      <c r="D106" s="9" t="inlineStr">
        <is>
          <t>Kiểm thử khả năng chịu tải 500 người dùng đồng thời (500 CCU)</t>
        </is>
      </c>
      <c r="E106" s="8" t="inlineStr">
        <is>
          <t>High</t>
        </is>
      </c>
      <c r="F106" s="9" t="inlineStr">
        <is>
          <t>Công cụ test tải k6 hoặc JMeter</t>
        </is>
      </c>
      <c r="G106" s="9" t="inlineStr">
        <is>
          <t>1. Thiết lập kịch bản 500 virtual users truy cập đồng thời
2. Quan sát độ trễ server</t>
        </is>
      </c>
      <c r="H106" s="9" t="inlineStr">
        <is>
          <t>500 CCU load test</t>
        </is>
      </c>
      <c r="I106" s="9" t="inlineStr">
        <is>
          <t>Hệ thống xử lý ổn định, response time &lt; 2000ms, tỷ lệ lỗi 0%</t>
        </is>
      </c>
      <c r="J106" s="8" t="inlineStr"/>
      <c r="K106" s="9" t="inlineStr">
        <is>
          <t>CHƯA CHẠY – nhóm tự test: Yêu cầu môi trường kiểm thử tải phân tán và công cụ đo chuyên dụng</t>
        </is>
      </c>
      <c r="L106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35" customWidth="1" min="4" max="4"/>
    <col width="30" customWidth="1" min="5" max="5"/>
    <col width="25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22" customWidth="1" min="13" max="13"/>
  </cols>
  <sheetData>
    <row r="1" ht="28" customHeight="1">
      <c r="A1" s="5" t="inlineStr">
        <is>
          <t>STT</t>
        </is>
      </c>
      <c r="B1" s="5" t="inlineStr">
        <is>
          <t>TR ID</t>
        </is>
      </c>
      <c r="C1" s="5" t="inlineStr">
        <is>
          <t>Phân hệ</t>
        </is>
      </c>
      <c r="D1" s="5" t="inlineStr">
        <is>
          <t>Tên TR</t>
        </is>
      </c>
      <c r="E1" s="5" t="inlineStr">
        <is>
          <t>Yêu cầu đặc tả (FR/NFR)</t>
        </is>
      </c>
      <c r="F1" s="5" t="inlineStr">
        <is>
          <t>Danh sách TC</t>
        </is>
      </c>
      <c r="G1" s="5" t="inlineStr">
        <is>
          <t>Tổng TC</t>
        </is>
      </c>
      <c r="H1" s="5" t="inlineStr">
        <is>
          <t>Đã chạy</t>
        </is>
      </c>
      <c r="I1" s="5" t="inlineStr">
        <is>
          <t>PASS</t>
        </is>
      </c>
      <c r="J1" s="5" t="inlineStr">
        <is>
          <t>FAIL</t>
        </is>
      </c>
      <c r="K1" s="5" t="inlineStr">
        <is>
          <t>BLOCKED</t>
        </is>
      </c>
      <c r="L1" s="5" t="inlineStr">
        <is>
          <t>Chưa chạy</t>
        </is>
      </c>
      <c r="M1" s="5" t="inlineStr">
        <is>
          <t>Người phụ trách</t>
        </is>
      </c>
    </row>
    <row r="2" ht="24" customHeight="1">
      <c r="A2" s="8" t="n">
        <v>1</v>
      </c>
      <c r="B2" s="8" t="inlineStr">
        <is>
          <t>TR-001</t>
        </is>
      </c>
      <c r="C2" s="8" t="inlineStr">
        <is>
          <t>AUTH</t>
        </is>
      </c>
      <c r="D2" s="9" t="inlineStr">
        <is>
          <t>Đăng nhập bằng email và mật khẩu qua NextAuth Credentials</t>
        </is>
      </c>
      <c r="E2" s="9" t="inlineStr">
        <is>
          <t>FR-01 — Xác thực &amp; Phân quyền</t>
        </is>
      </c>
      <c r="F2" s="9" t="inlineStr">
        <is>
          <t>TC_AUTH_001, TC_AUTH_002, TC_AUTH_003</t>
        </is>
      </c>
      <c r="G2" s="8">
        <f>COUNTIF('TC List'!$A$2:$A$96, "TR-001")</f>
        <v/>
      </c>
      <c r="H2" s="8">
        <f>I2+J2+K2</f>
        <v/>
      </c>
      <c r="I2" s="8">
        <f>COUNTIFS('TC List'!$A$2:$A$96, "TR-001", 'TC List'!$J$2:$J$96, "PASS")</f>
        <v/>
      </c>
      <c r="J2" s="8">
        <f>COUNTIFS('TC List'!$A$2:$A$96, "TR-001", 'TC List'!$J$2:$J$96, "FAIL")</f>
        <v/>
      </c>
      <c r="K2" s="8">
        <f>COUNTIFS('TC List'!$A$2:$A$96, "TR-001", 'TC List'!$J$2:$J$96, "BLOCKED")</f>
        <v/>
      </c>
      <c r="L2" s="8">
        <f>G2-H2</f>
        <v/>
      </c>
      <c r="M2" s="9" t="inlineStr">
        <is>
          <t>Nguyễn Quách Phú Tài</t>
        </is>
      </c>
    </row>
    <row r="3" ht="24" customHeight="1">
      <c r="A3" s="8" t="n">
        <v>2</v>
      </c>
      <c r="B3" s="8" t="inlineStr">
        <is>
          <t>TR-002</t>
        </is>
      </c>
      <c r="C3" s="8" t="inlineStr">
        <is>
          <t>AUTH</t>
        </is>
      </c>
      <c r="D3" s="9" t="inlineStr">
        <is>
          <t>Đăng nhập liên kết tài khoản Google OAuth</t>
        </is>
      </c>
      <c r="E3" s="9" t="inlineStr">
        <is>
          <t>FR-01 — Xác thực &amp; Phân quyền</t>
        </is>
      </c>
      <c r="F3" s="9" t="inlineStr">
        <is>
          <t>TC_AUTH_004, TC_AUTH_005</t>
        </is>
      </c>
      <c r="G3" s="8">
        <f>COUNTIF('TC List'!$A$2:$A$96, "TR-002")</f>
        <v/>
      </c>
      <c r="H3" s="8">
        <f>I3+J3+K3</f>
        <v/>
      </c>
      <c r="I3" s="8">
        <f>COUNTIFS('TC List'!$A$2:$A$96, "TR-002", 'TC List'!$J$2:$J$96, "PASS")</f>
        <v/>
      </c>
      <c r="J3" s="8">
        <f>COUNTIFS('TC List'!$A$2:$A$96, "TR-002", 'TC List'!$J$2:$J$96, "FAIL")</f>
        <v/>
      </c>
      <c r="K3" s="8">
        <f>COUNTIFS('TC List'!$A$2:$A$96, "TR-002", 'TC List'!$J$2:$J$96, "BLOCKED")</f>
        <v/>
      </c>
      <c r="L3" s="8">
        <f>G3-H3</f>
        <v/>
      </c>
      <c r="M3" s="9" t="inlineStr">
        <is>
          <t>Nguyễn Quách Phú Tài</t>
        </is>
      </c>
    </row>
    <row r="4" ht="24" customHeight="1">
      <c r="A4" s="8" t="n">
        <v>3</v>
      </c>
      <c r="B4" s="8" t="inlineStr">
        <is>
          <t>TR-003</t>
        </is>
      </c>
      <c r="C4" s="8" t="inlineStr">
        <is>
          <t>AUTH</t>
        </is>
      </c>
      <c r="D4" s="9" t="inlineStr">
        <is>
          <t>Đăng ký tài khoản người dùng mới và phân quyền mặc định</t>
        </is>
      </c>
      <c r="E4" s="9" t="inlineStr">
        <is>
          <t>FR-01 — Xác thực &amp; Phân quyền</t>
        </is>
      </c>
      <c r="F4" s="9" t="inlineStr">
        <is>
          <t>TC_AUTH_006, TC_AUTH_007, TC_AUTH_008</t>
        </is>
      </c>
      <c r="G4" s="8">
        <f>COUNTIF('TC List'!$A$2:$A$96, "TR-003")</f>
        <v/>
      </c>
      <c r="H4" s="8">
        <f>I4+J4+K4</f>
        <v/>
      </c>
      <c r="I4" s="8">
        <f>COUNTIFS('TC List'!$A$2:$A$96, "TR-003", 'TC List'!$J$2:$J$96, "PASS")</f>
        <v/>
      </c>
      <c r="J4" s="8">
        <f>COUNTIFS('TC List'!$A$2:$A$96, "TR-003", 'TC List'!$J$2:$J$96, "FAIL")</f>
        <v/>
      </c>
      <c r="K4" s="8">
        <f>COUNTIFS('TC List'!$A$2:$A$96, "TR-003", 'TC List'!$J$2:$J$96, "BLOCKED")</f>
        <v/>
      </c>
      <c r="L4" s="8">
        <f>G4-H4</f>
        <v/>
      </c>
      <c r="M4" s="9" t="inlineStr">
        <is>
          <t>Nguyễn Quách Phú Tài</t>
        </is>
      </c>
    </row>
    <row r="5" ht="24" customHeight="1">
      <c r="A5" s="8" t="n">
        <v>4</v>
      </c>
      <c r="B5" s="8" t="inlineStr">
        <is>
          <t>TR-004</t>
        </is>
      </c>
      <c r="C5" s="8" t="inlineStr">
        <is>
          <t>AUTH</t>
        </is>
      </c>
      <c r="D5" s="9" t="inlineStr">
        <is>
          <t>Quên mật khẩu và tạo token khôi phục tài khoản</t>
        </is>
      </c>
      <c r="E5" s="9" t="inlineStr">
        <is>
          <t>FR-01 — Xác thực &amp; Phân quyền</t>
        </is>
      </c>
      <c r="F5" s="9" t="inlineStr">
        <is>
          <t>TC_AUTH_009, TC_AUTH_010</t>
        </is>
      </c>
      <c r="G5" s="8">
        <f>COUNTIF('TC List'!$A$2:$A$96, "TR-004")</f>
        <v/>
      </c>
      <c r="H5" s="8">
        <f>I5+J5+K5</f>
        <v/>
      </c>
      <c r="I5" s="8">
        <f>COUNTIFS('TC List'!$A$2:$A$96, "TR-004", 'TC List'!$J$2:$J$96, "PASS")</f>
        <v/>
      </c>
      <c r="J5" s="8">
        <f>COUNTIFS('TC List'!$A$2:$A$96, "TR-004", 'TC List'!$J$2:$J$96, "FAIL")</f>
        <v/>
      </c>
      <c r="K5" s="8">
        <f>COUNTIFS('TC List'!$A$2:$A$96, "TR-004", 'TC List'!$J$2:$J$96, "BLOCKED")</f>
        <v/>
      </c>
      <c r="L5" s="8">
        <f>G5-H5</f>
        <v/>
      </c>
      <c r="M5" s="9" t="inlineStr">
        <is>
          <t>Nguyễn Quách Phú Tài</t>
        </is>
      </c>
    </row>
    <row r="6" ht="24" customHeight="1">
      <c r="A6" s="8" t="n">
        <v>5</v>
      </c>
      <c r="B6" s="8" t="inlineStr">
        <is>
          <t>TR-005</t>
        </is>
      </c>
      <c r="C6" s="8" t="inlineStr">
        <is>
          <t>AUTH</t>
        </is>
      </c>
      <c r="D6" s="9" t="inlineStr">
        <is>
          <t>Đặt lại mật khẩu với token xác thực</t>
        </is>
      </c>
      <c r="E6" s="9" t="inlineStr">
        <is>
          <t>FR-01 — Xác thực &amp; Phân quyền</t>
        </is>
      </c>
      <c r="F6" s="9" t="inlineStr">
        <is>
          <t>TC_AUTH_011, TC_AUTH_012</t>
        </is>
      </c>
      <c r="G6" s="8">
        <f>COUNTIF('TC List'!$A$2:$A$96, "TR-005")</f>
        <v/>
      </c>
      <c r="H6" s="8">
        <f>I6+J6+K6</f>
        <v/>
      </c>
      <c r="I6" s="8">
        <f>COUNTIFS('TC List'!$A$2:$A$96, "TR-005", 'TC List'!$J$2:$J$96, "PASS")</f>
        <v/>
      </c>
      <c r="J6" s="8">
        <f>COUNTIFS('TC List'!$A$2:$A$96, "TR-005", 'TC List'!$J$2:$J$96, "FAIL")</f>
        <v/>
      </c>
      <c r="K6" s="8">
        <f>COUNTIFS('TC List'!$A$2:$A$96, "TR-005", 'TC List'!$J$2:$J$96, "BLOCKED")</f>
        <v/>
      </c>
      <c r="L6" s="8">
        <f>G6-H6</f>
        <v/>
      </c>
      <c r="M6" s="9" t="inlineStr">
        <is>
          <t>Nguyễn Quách Phú Tài</t>
        </is>
      </c>
    </row>
    <row r="7" ht="24" customHeight="1">
      <c r="A7" s="8" t="n">
        <v>6</v>
      </c>
      <c r="B7" s="8" t="inlineStr">
        <is>
          <t>TR-006</t>
        </is>
      </c>
      <c r="C7" s="8" t="inlineStr">
        <is>
          <t>KYC</t>
        </is>
      </c>
      <c r="D7" s="9" t="inlineStr">
        <is>
          <t>Nộp hồ sơ định danh và nâng cấp Creator cá nhân</t>
        </is>
      </c>
      <c r="E7" s="9" t="inlineStr">
        <is>
          <t>FR-02 — Định danh KYC &amp; Nâng cấp</t>
        </is>
      </c>
      <c r="F7" s="9" t="inlineStr">
        <is>
          <t>TC_KYC_001, TC_KYC_002, TC_KYC_003, TC_KYC_004</t>
        </is>
      </c>
      <c r="G7" s="8">
        <f>COUNTIF('TC List'!$A$2:$A$96, "TR-006")</f>
        <v/>
      </c>
      <c r="H7" s="8">
        <f>I7+J7+K7</f>
        <v/>
      </c>
      <c r="I7" s="8">
        <f>COUNTIFS('TC List'!$A$2:$A$96, "TR-006", 'TC List'!$J$2:$J$96, "PASS")</f>
        <v/>
      </c>
      <c r="J7" s="8">
        <f>COUNTIFS('TC List'!$A$2:$A$96, "TR-006", 'TC List'!$J$2:$J$96, "FAIL")</f>
        <v/>
      </c>
      <c r="K7" s="8">
        <f>COUNTIFS('TC List'!$A$2:$A$96, "TR-006", 'TC List'!$J$2:$J$96, "BLOCKED")</f>
        <v/>
      </c>
      <c r="L7" s="8">
        <f>G7-H7</f>
        <v/>
      </c>
      <c r="M7" s="9" t="inlineStr">
        <is>
          <t>Nguyễn Quách Phú Tài</t>
        </is>
      </c>
    </row>
    <row r="8" ht="24" customHeight="1">
      <c r="A8" s="8" t="n">
        <v>7</v>
      </c>
      <c r="B8" s="8" t="inlineStr">
        <is>
          <t>TR-007</t>
        </is>
      </c>
      <c r="C8" s="8" t="inlineStr">
        <is>
          <t>KYC</t>
        </is>
      </c>
      <c r="D8" s="9" t="inlineStr">
        <is>
          <t>Nộp hồ sơ định danh Creator tổ chức / doanh nghiệp</t>
        </is>
      </c>
      <c r="E8" s="9" t="inlineStr">
        <is>
          <t>FR-02 — Định danh KYC &amp; Nâng cấp</t>
        </is>
      </c>
      <c r="F8" s="9" t="inlineStr">
        <is>
          <t>TC_KYC_005, TC_KYC_006</t>
        </is>
      </c>
      <c r="G8" s="8">
        <f>COUNTIF('TC List'!$A$2:$A$96, "TR-007")</f>
        <v/>
      </c>
      <c r="H8" s="8">
        <f>I8+J8+K8</f>
        <v/>
      </c>
      <c r="I8" s="8">
        <f>COUNTIFS('TC List'!$A$2:$A$96, "TR-007", 'TC List'!$J$2:$J$96, "PASS")</f>
        <v/>
      </c>
      <c r="J8" s="8">
        <f>COUNTIFS('TC List'!$A$2:$A$96, "TR-007", 'TC List'!$J$2:$J$96, "FAIL")</f>
        <v/>
      </c>
      <c r="K8" s="8">
        <f>COUNTIFS('TC List'!$A$2:$A$96, "TR-007", 'TC List'!$J$2:$J$96, "BLOCKED")</f>
        <v/>
      </c>
      <c r="L8" s="8">
        <f>G8-H8</f>
        <v/>
      </c>
      <c r="M8" s="9" t="inlineStr">
        <is>
          <t>Nguyễn Quách Phú Tài</t>
        </is>
      </c>
    </row>
    <row r="9" ht="24" customHeight="1">
      <c r="A9" s="8" t="n">
        <v>8</v>
      </c>
      <c r="B9" s="8" t="inlineStr">
        <is>
          <t>TR-008</t>
        </is>
      </c>
      <c r="C9" s="8" t="inlineStr">
        <is>
          <t>KYC</t>
        </is>
      </c>
      <c r="D9" s="9" t="inlineStr">
        <is>
          <t>Truy vấn trạng thái hồ sơ KYC của người dùng</t>
        </is>
      </c>
      <c r="E9" s="9" t="inlineStr">
        <is>
          <t>FR-02 — Định danh KYC &amp; Nâng cấp</t>
        </is>
      </c>
      <c r="F9" s="9" t="inlineStr">
        <is>
          <t>TC_KYC_007, TC_KYC_008</t>
        </is>
      </c>
      <c r="G9" s="8">
        <f>COUNTIF('TC List'!$A$2:$A$96, "TR-008")</f>
        <v/>
      </c>
      <c r="H9" s="8">
        <f>I9+J9+K9</f>
        <v/>
      </c>
      <c r="I9" s="8">
        <f>COUNTIFS('TC List'!$A$2:$A$96, "TR-008", 'TC List'!$J$2:$J$96, "PASS")</f>
        <v/>
      </c>
      <c r="J9" s="8">
        <f>COUNTIFS('TC List'!$A$2:$A$96, "TR-008", 'TC List'!$J$2:$J$96, "FAIL")</f>
        <v/>
      </c>
      <c r="K9" s="8">
        <f>COUNTIFS('TC List'!$A$2:$A$96, "TR-008", 'TC List'!$J$2:$J$96, "BLOCKED")</f>
        <v/>
      </c>
      <c r="L9" s="8">
        <f>G9-H9</f>
        <v/>
      </c>
      <c r="M9" s="9" t="inlineStr">
        <is>
          <t>Nguyễn Quách Phú Tài</t>
        </is>
      </c>
    </row>
    <row r="10" ht="24" customHeight="1">
      <c r="A10" s="8" t="n">
        <v>9</v>
      </c>
      <c r="B10" s="8" t="inlineStr">
        <is>
          <t>TR-009</t>
        </is>
      </c>
      <c r="C10" s="8" t="inlineStr">
        <is>
          <t>KYC</t>
        </is>
      </c>
      <c r="D10" s="9" t="inlineStr">
        <is>
          <t>Admin phê duyệt hoặc từ chối hồ sơ định danh KYC</t>
        </is>
      </c>
      <c r="E10" s="9" t="inlineStr">
        <is>
          <t>FR-02 — Định danh KYC &amp; Nâng cấp</t>
        </is>
      </c>
      <c r="F10" s="9" t="inlineStr">
        <is>
          <t>TC_KYC_009, TC_KYC_010, TC_KYC_011</t>
        </is>
      </c>
      <c r="G10" s="8">
        <f>COUNTIF('TC List'!$A$2:$A$96, "TR-009")</f>
        <v/>
      </c>
      <c r="H10" s="8">
        <f>I10+J10+K10</f>
        <v/>
      </c>
      <c r="I10" s="8">
        <f>COUNTIFS('TC List'!$A$2:$A$96, "TR-009", 'TC List'!$J$2:$J$96, "PASS")</f>
        <v/>
      </c>
      <c r="J10" s="8">
        <f>COUNTIFS('TC List'!$A$2:$A$96, "TR-009", 'TC List'!$J$2:$J$96, "FAIL")</f>
        <v/>
      </c>
      <c r="K10" s="8">
        <f>COUNTIFS('TC List'!$A$2:$A$96, "TR-009", 'TC List'!$J$2:$J$96, "BLOCKED")</f>
        <v/>
      </c>
      <c r="L10" s="8">
        <f>G10-H10</f>
        <v/>
      </c>
      <c r="M10" s="9" t="inlineStr">
        <is>
          <t>Nguyễn Quách Phú Tài</t>
        </is>
      </c>
    </row>
    <row r="11" ht="24" customHeight="1">
      <c r="A11" s="8" t="n">
        <v>10</v>
      </c>
      <c r="B11" s="8" t="inlineStr">
        <is>
          <t>TR-010</t>
        </is>
      </c>
      <c r="C11" s="8" t="inlineStr">
        <is>
          <t>CAMP</t>
        </is>
      </c>
      <c r="D11" s="9" t="inlineStr">
        <is>
          <t>Khởi tạo chiến dịch gây quỹ mới</t>
        </is>
      </c>
      <c r="E11" s="9" t="inlineStr">
        <is>
          <t>FR-03 — Quản lý Chiến dịch gây quỹ</t>
        </is>
      </c>
      <c r="F11" s="9" t="inlineStr">
        <is>
          <t>TC_CAMP_001, TC_CAMP_002, TC_CAMP_003, TC_CAMP_004, TC_CAMP_005</t>
        </is>
      </c>
      <c r="G11" s="8">
        <f>COUNTIF('TC List'!$A$2:$A$96, "TR-010")</f>
        <v/>
      </c>
      <c r="H11" s="8">
        <f>I11+J11+K11</f>
        <v/>
      </c>
      <c r="I11" s="8">
        <f>COUNTIFS('TC List'!$A$2:$A$96, "TR-010", 'TC List'!$J$2:$J$96, "PASS")</f>
        <v/>
      </c>
      <c r="J11" s="8">
        <f>COUNTIFS('TC List'!$A$2:$A$96, "TR-010", 'TC List'!$J$2:$J$96, "FAIL")</f>
        <v/>
      </c>
      <c r="K11" s="8">
        <f>COUNTIFS('TC List'!$A$2:$A$96, "TR-010", 'TC List'!$J$2:$J$96, "BLOCKED")</f>
        <v/>
      </c>
      <c r="L11" s="8">
        <f>G11-H11</f>
        <v/>
      </c>
      <c r="M11" s="9" t="inlineStr">
        <is>
          <t>Trần Xuân Ân</t>
        </is>
      </c>
    </row>
    <row r="12" ht="24" customHeight="1">
      <c r="A12" s="8" t="n">
        <v>11</v>
      </c>
      <c r="B12" s="8" t="inlineStr">
        <is>
          <t>TR-011</t>
        </is>
      </c>
      <c r="C12" s="8" t="inlineStr">
        <is>
          <t>CAMP</t>
        </is>
      </c>
      <c r="D12" s="9" t="inlineStr">
        <is>
          <t>Xem danh sách và lọc tìm kiếm chiến dịch công khai</t>
        </is>
      </c>
      <c r="E12" s="9" t="inlineStr">
        <is>
          <t>FR-03 — Quản lý Chiến dịch gây quỹ</t>
        </is>
      </c>
      <c r="F12" s="9" t="inlineStr">
        <is>
          <t>TC_CAMP_006, TC_CAMP_007, TC_CAMP_008</t>
        </is>
      </c>
      <c r="G12" s="8">
        <f>COUNTIF('TC List'!$A$2:$A$96, "TR-011")</f>
        <v/>
      </c>
      <c r="H12" s="8">
        <f>I12+J12+K12</f>
        <v/>
      </c>
      <c r="I12" s="8">
        <f>COUNTIFS('TC List'!$A$2:$A$96, "TR-011", 'TC List'!$J$2:$J$96, "PASS")</f>
        <v/>
      </c>
      <c r="J12" s="8">
        <f>COUNTIFS('TC List'!$A$2:$A$96, "TR-011", 'TC List'!$J$2:$J$96, "FAIL")</f>
        <v/>
      </c>
      <c r="K12" s="8">
        <f>COUNTIFS('TC List'!$A$2:$A$96, "TR-011", 'TC List'!$J$2:$J$96, "BLOCKED")</f>
        <v/>
      </c>
      <c r="L12" s="8">
        <f>G12-H12</f>
        <v/>
      </c>
      <c r="M12" s="9" t="inlineStr">
        <is>
          <t>Trần Xuân Ân</t>
        </is>
      </c>
    </row>
    <row r="13" ht="24" customHeight="1">
      <c r="A13" s="8" t="n">
        <v>12</v>
      </c>
      <c r="B13" s="8" t="inlineStr">
        <is>
          <t>TR-012</t>
        </is>
      </c>
      <c r="C13" s="8" t="inlineStr">
        <is>
          <t>CAMP</t>
        </is>
      </c>
      <c r="D13" s="9" t="inlineStr">
        <is>
          <t>Xem trang chi tiết nội dung chiến dịch gây quỹ</t>
        </is>
      </c>
      <c r="E13" s="9" t="inlineStr">
        <is>
          <t>FR-03 — Quản lý Chiến dịch gây quỹ</t>
        </is>
      </c>
      <c r="F13" s="9" t="inlineStr">
        <is>
          <t>TC_CAMP_009, TC_CAMP_010</t>
        </is>
      </c>
      <c r="G13" s="8">
        <f>COUNTIF('TC List'!$A$2:$A$96, "TR-012")</f>
        <v/>
      </c>
      <c r="H13" s="8">
        <f>I13+J13+K13</f>
        <v/>
      </c>
      <c r="I13" s="8">
        <f>COUNTIFS('TC List'!$A$2:$A$96, "TR-012", 'TC List'!$J$2:$J$96, "PASS")</f>
        <v/>
      </c>
      <c r="J13" s="8">
        <f>COUNTIFS('TC List'!$A$2:$A$96, "TR-012", 'TC List'!$J$2:$J$96, "FAIL")</f>
        <v/>
      </c>
      <c r="K13" s="8">
        <f>COUNTIFS('TC List'!$A$2:$A$96, "TR-012", 'TC List'!$J$2:$J$96, "BLOCKED")</f>
        <v/>
      </c>
      <c r="L13" s="8">
        <f>G13-H13</f>
        <v/>
      </c>
      <c r="M13" s="9" t="inlineStr">
        <is>
          <t>Trần Xuân Ân</t>
        </is>
      </c>
    </row>
    <row r="14" ht="24" customHeight="1">
      <c r="A14" s="8" t="n">
        <v>13</v>
      </c>
      <c r="B14" s="8" t="inlineStr">
        <is>
          <t>TR-013</t>
        </is>
      </c>
      <c r="C14" s="8" t="inlineStr">
        <is>
          <t>CAMP</t>
        </is>
      </c>
      <c r="D14" s="9" t="inlineStr">
        <is>
          <t>Gửi duyệt và quản lý vòng đời trạng thái chiến dịch</t>
        </is>
      </c>
      <c r="E14" s="9" t="inlineStr">
        <is>
          <t>FR-03 — Quản lý Chiến dịch gây quỹ</t>
        </is>
      </c>
      <c r="F14" s="9" t="inlineStr">
        <is>
          <t>TC_CAMP_011, TC_CAMP_012</t>
        </is>
      </c>
      <c r="G14" s="8">
        <f>COUNTIF('TC List'!$A$2:$A$96, "TR-013")</f>
        <v/>
      </c>
      <c r="H14" s="8">
        <f>I14+J14+K14</f>
        <v/>
      </c>
      <c r="I14" s="8">
        <f>COUNTIFS('TC List'!$A$2:$A$96, "TR-013", 'TC List'!$J$2:$J$96, "PASS")</f>
        <v/>
      </c>
      <c r="J14" s="8">
        <f>COUNTIFS('TC List'!$A$2:$A$96, "TR-013", 'TC List'!$J$2:$J$96, "FAIL")</f>
        <v/>
      </c>
      <c r="K14" s="8">
        <f>COUNTIFS('TC List'!$A$2:$A$96, "TR-013", 'TC List'!$J$2:$J$96, "BLOCKED")</f>
        <v/>
      </c>
      <c r="L14" s="8">
        <f>G14-H14</f>
        <v/>
      </c>
      <c r="M14" s="9" t="inlineStr">
        <is>
          <t>Trần Xuân Ân</t>
        </is>
      </c>
    </row>
    <row r="15" ht="24" customHeight="1">
      <c r="A15" s="8" t="n">
        <v>14</v>
      </c>
      <c r="B15" s="8" t="inlineStr">
        <is>
          <t>TR-014</t>
        </is>
      </c>
      <c r="C15" s="8" t="inlineStr">
        <is>
          <t>CAMP</t>
        </is>
      </c>
      <c r="D15" s="9" t="inlineStr">
        <is>
          <t>Admin phê duyệt và gắn cờ nổi bật cho chiến dịch</t>
        </is>
      </c>
      <c r="E15" s="9" t="inlineStr">
        <is>
          <t>FR-03 — Quản lý Chiến dịch gây quỹ</t>
        </is>
      </c>
      <c r="F15" s="9" t="inlineStr">
        <is>
          <t>TC_CAMP_013, TC_CAMP_014, TC_CAMP_015</t>
        </is>
      </c>
      <c r="G15" s="8">
        <f>COUNTIF('TC List'!$A$2:$A$96, "TR-014")</f>
        <v/>
      </c>
      <c r="H15" s="8">
        <f>I15+J15+K15</f>
        <v/>
      </c>
      <c r="I15" s="8">
        <f>COUNTIFS('TC List'!$A$2:$A$96, "TR-014", 'TC List'!$J$2:$J$96, "PASS")</f>
        <v/>
      </c>
      <c r="J15" s="8">
        <f>COUNTIFS('TC List'!$A$2:$A$96, "TR-014", 'TC List'!$J$2:$J$96, "FAIL")</f>
        <v/>
      </c>
      <c r="K15" s="8">
        <f>COUNTIFS('TC List'!$A$2:$A$96, "TR-014", 'TC List'!$J$2:$J$96, "BLOCKED")</f>
        <v/>
      </c>
      <c r="L15" s="8">
        <f>G15-H15</f>
        <v/>
      </c>
      <c r="M15" s="9" t="inlineStr">
        <is>
          <t>Trần Xuân Ân</t>
        </is>
      </c>
    </row>
    <row r="16" ht="24" customHeight="1">
      <c r="A16" s="8" t="n">
        <v>15</v>
      </c>
      <c r="B16" s="8" t="inlineStr">
        <is>
          <t>TR-015</t>
        </is>
      </c>
      <c r="C16" s="8" t="inlineStr">
        <is>
          <t>REWARD</t>
        </is>
      </c>
      <c r="D16" s="9" t="inlineStr">
        <is>
          <t>Khởi tạo gói phần thưởng tài trợ cho chiến dịch</t>
        </is>
      </c>
      <c r="E16" s="9" t="inlineStr">
        <is>
          <t>FR-04 — Phần thưởng &amp; Gói tài trợ</t>
        </is>
      </c>
      <c r="F16" s="9" t="inlineStr">
        <is>
          <t>TC_REWD_001, TC_REWD_002, TC_REWD_003</t>
        </is>
      </c>
      <c r="G16" s="8">
        <f>COUNTIF('TC List'!$A$2:$A$96, "TR-015")</f>
        <v/>
      </c>
      <c r="H16" s="8">
        <f>I16+J16+K16</f>
        <v/>
      </c>
      <c r="I16" s="8">
        <f>COUNTIFS('TC List'!$A$2:$A$96, "TR-015", 'TC List'!$J$2:$J$96, "PASS")</f>
        <v/>
      </c>
      <c r="J16" s="8">
        <f>COUNTIFS('TC List'!$A$2:$A$96, "TR-015", 'TC List'!$J$2:$J$96, "FAIL")</f>
        <v/>
      </c>
      <c r="K16" s="8">
        <f>COUNTIFS('TC List'!$A$2:$A$96, "TR-015", 'TC List'!$J$2:$J$96, "BLOCKED")</f>
        <v/>
      </c>
      <c r="L16" s="8">
        <f>G16-H16</f>
        <v/>
      </c>
      <c r="M16" s="9" t="inlineStr">
        <is>
          <t>Trần Xuân Ân</t>
        </is>
      </c>
    </row>
    <row r="17" ht="24" customHeight="1">
      <c r="A17" s="8" t="n">
        <v>16</v>
      </c>
      <c r="B17" s="8" t="inlineStr">
        <is>
          <t>TR-016</t>
        </is>
      </c>
      <c r="C17" s="8" t="inlineStr">
        <is>
          <t>REWARD</t>
        </is>
      </c>
      <c r="D17" s="9" t="inlineStr">
        <is>
          <t>Bật hoặc tắt trạng thái khả dụng của phần thưởng</t>
        </is>
      </c>
      <c r="E17" s="9" t="inlineStr">
        <is>
          <t>FR-04 — Phần thưởng &amp; Gói tài trợ</t>
        </is>
      </c>
      <c r="F17" s="9" t="inlineStr">
        <is>
          <t>TC_REWD_004, TC_REWD_005</t>
        </is>
      </c>
      <c r="G17" s="8">
        <f>COUNTIF('TC List'!$A$2:$A$96, "TR-016")</f>
        <v/>
      </c>
      <c r="H17" s="8">
        <f>I17+J17+K17</f>
        <v/>
      </c>
      <c r="I17" s="8">
        <f>COUNTIFS('TC List'!$A$2:$A$96, "TR-016", 'TC List'!$J$2:$J$96, "PASS")</f>
        <v/>
      </c>
      <c r="J17" s="8">
        <f>COUNTIFS('TC List'!$A$2:$A$96, "TR-016", 'TC List'!$J$2:$J$96, "FAIL")</f>
        <v/>
      </c>
      <c r="K17" s="8">
        <f>COUNTIFS('TC List'!$A$2:$A$96, "TR-016", 'TC List'!$J$2:$J$96, "BLOCKED")</f>
        <v/>
      </c>
      <c r="L17" s="8">
        <f>G17-H17</f>
        <v/>
      </c>
      <c r="M17" s="9" t="inlineStr">
        <is>
          <t>Trần Xuân Ân</t>
        </is>
      </c>
    </row>
    <row r="18" ht="24" customHeight="1">
      <c r="A18" s="8" t="n">
        <v>17</v>
      </c>
      <c r="B18" s="8" t="inlineStr">
        <is>
          <t>TR-017</t>
        </is>
      </c>
      <c r="C18" s="8" t="inlineStr">
        <is>
          <t>REWARD</t>
        </is>
      </c>
      <c r="D18" s="9" t="inlineStr">
        <is>
          <t>Xem trang chi tiết phần thưởng độc lập</t>
        </is>
      </c>
      <c r="E18" s="9" t="inlineStr">
        <is>
          <t>FR-04 — Phần thưởng &amp; Gói tài trợ</t>
        </is>
      </c>
      <c r="F18" s="9" t="inlineStr">
        <is>
          <t>TC_REWD_006, TC_REWD_007</t>
        </is>
      </c>
      <c r="G18" s="8">
        <f>COUNTIF('TC List'!$A$2:$A$96, "TR-017")</f>
        <v/>
      </c>
      <c r="H18" s="8">
        <f>I18+J18+K18</f>
        <v/>
      </c>
      <c r="I18" s="8">
        <f>COUNTIFS('TC List'!$A$2:$A$96, "TR-017", 'TC List'!$J$2:$J$96, "PASS")</f>
        <v/>
      </c>
      <c r="J18" s="8">
        <f>COUNTIFS('TC List'!$A$2:$A$96, "TR-017", 'TC List'!$J$2:$J$96, "FAIL")</f>
        <v/>
      </c>
      <c r="K18" s="8">
        <f>COUNTIFS('TC List'!$A$2:$A$96, "TR-017", 'TC List'!$J$2:$J$96, "BLOCKED")</f>
        <v/>
      </c>
      <c r="L18" s="8">
        <f>G18-H18</f>
        <v/>
      </c>
      <c r="M18" s="9" t="inlineStr">
        <is>
          <t>Trần Xuân Ân</t>
        </is>
      </c>
    </row>
    <row r="19" ht="24" customHeight="1">
      <c r="A19" s="8" t="n">
        <v>18</v>
      </c>
      <c r="B19" s="8" t="inlineStr">
        <is>
          <t>TR-018</t>
        </is>
      </c>
      <c r="C19" s="8" t="inlineStr">
        <is>
          <t>REWARD</t>
        </is>
      </c>
      <c r="D19" s="9" t="inlineStr">
        <is>
          <t>Quản lý tệp tài sản số đính kèm phần thưởng</t>
        </is>
      </c>
      <c r="E19" s="9" t="inlineStr">
        <is>
          <t>FR-04 — Phần thưởng &amp; Gói tài trợ</t>
        </is>
      </c>
      <c r="F19" s="9" t="inlineStr">
        <is>
          <t>TC_REWD_008, TC_REWD_009</t>
        </is>
      </c>
      <c r="G19" s="8">
        <f>COUNTIF('TC List'!$A$2:$A$96, "TR-018")</f>
        <v/>
      </c>
      <c r="H19" s="8">
        <f>I19+J19+K19</f>
        <v/>
      </c>
      <c r="I19" s="8">
        <f>COUNTIFS('TC List'!$A$2:$A$96, "TR-018", 'TC List'!$J$2:$J$96, "PASS")</f>
        <v/>
      </c>
      <c r="J19" s="8">
        <f>COUNTIFS('TC List'!$A$2:$A$96, "TR-018", 'TC List'!$J$2:$J$96, "FAIL")</f>
        <v/>
      </c>
      <c r="K19" s="8">
        <f>COUNTIFS('TC List'!$A$2:$A$96, "TR-018", 'TC List'!$J$2:$J$96, "BLOCKED")</f>
        <v/>
      </c>
      <c r="L19" s="8">
        <f>G19-H19</f>
        <v/>
      </c>
      <c r="M19" s="9" t="inlineStr">
        <is>
          <t>Trần Xuân Ân</t>
        </is>
      </c>
    </row>
    <row r="20" ht="24" customHeight="1">
      <c r="A20" s="8" t="n">
        <v>19</v>
      </c>
      <c r="B20" s="8" t="inlineStr">
        <is>
          <t>TR-019</t>
        </is>
      </c>
      <c r="C20" s="8" t="inlineStr">
        <is>
          <t>PLEDGE</t>
        </is>
      </c>
      <c r="D20" s="9" t="inlineStr">
        <is>
          <t>Khởi tạo giao dịch ủng hộ chuyển khoản ngân hàng VietQR</t>
        </is>
      </c>
      <c r="E20" s="9" t="inlineStr">
        <is>
          <t>FR-05 — Ủng hộ &amp; Thanh toán</t>
        </is>
      </c>
      <c r="F20" s="9" t="inlineStr">
        <is>
          <t>TC_PLED_001, TC_PLED_002, TC_PLED_003</t>
        </is>
      </c>
      <c r="G20" s="8">
        <f>COUNTIF('TC List'!$A$2:$A$96, "TR-019")</f>
        <v/>
      </c>
      <c r="H20" s="8">
        <f>I20+J20+K20</f>
        <v/>
      </c>
      <c r="I20" s="8">
        <f>COUNTIFS('TC List'!$A$2:$A$96, "TR-019", 'TC List'!$J$2:$J$96, "PASS")</f>
        <v/>
      </c>
      <c r="J20" s="8">
        <f>COUNTIFS('TC List'!$A$2:$A$96, "TR-019", 'TC List'!$J$2:$J$96, "FAIL")</f>
        <v/>
      </c>
      <c r="K20" s="8">
        <f>COUNTIFS('TC List'!$A$2:$A$96, "TR-019", 'TC List'!$J$2:$J$96, "BLOCKED")</f>
        <v/>
      </c>
      <c r="L20" s="8">
        <f>G20-H20</f>
        <v/>
      </c>
      <c r="M20" s="9" t="inlineStr">
        <is>
          <t>Bùi Đặng Quốc Khánh</t>
        </is>
      </c>
    </row>
    <row r="21" ht="24" customHeight="1">
      <c r="A21" s="8" t="n">
        <v>20</v>
      </c>
      <c r="B21" s="8" t="inlineStr">
        <is>
          <t>TR-020</t>
        </is>
      </c>
      <c r="C21" s="8" t="inlineStr">
        <is>
          <t>PLEDGE</t>
        </is>
      </c>
      <c r="D21" s="9" t="inlineStr">
        <is>
          <t>Xác nhận vô hiệu hóa cổng MoMo theo mô hình ký quỹ</t>
        </is>
      </c>
      <c r="E21" s="9" t="inlineStr">
        <is>
          <t>FR-05 — Ủng hộ &amp; Thanh toán</t>
        </is>
      </c>
      <c r="F21" s="9" t="inlineStr">
        <is>
          <t>TC_PLED_004</t>
        </is>
      </c>
      <c r="G21" s="8">
        <f>COUNTIF('TC List'!$A$2:$A$96, "TR-020")</f>
        <v/>
      </c>
      <c r="H21" s="8">
        <f>I21+J21+K21</f>
        <v/>
      </c>
      <c r="I21" s="8">
        <f>COUNTIFS('TC List'!$A$2:$A$96, "TR-020", 'TC List'!$J$2:$J$96, "PASS")</f>
        <v/>
      </c>
      <c r="J21" s="8">
        <f>COUNTIFS('TC List'!$A$2:$A$96, "TR-020", 'TC List'!$J$2:$J$96, "FAIL")</f>
        <v/>
      </c>
      <c r="K21" s="8">
        <f>COUNTIFS('TC List'!$A$2:$A$96, "TR-020", 'TC List'!$J$2:$J$96, "BLOCKED")</f>
        <v/>
      </c>
      <c r="L21" s="8">
        <f>G21-H21</f>
        <v/>
      </c>
      <c r="M21" s="9" t="inlineStr">
        <is>
          <t>Bùi Đặng Quốc Khánh</t>
        </is>
      </c>
    </row>
    <row r="22" ht="24" customHeight="1">
      <c r="A22" s="8" t="n">
        <v>21</v>
      </c>
      <c r="B22" s="8" t="inlineStr">
        <is>
          <t>TR-021</t>
        </is>
      </c>
      <c r="C22" s="8" t="inlineStr">
        <is>
          <t>PLEDGE</t>
        </is>
      </c>
      <c r="D22" s="9" t="inlineStr">
        <is>
          <t>Xác nhận vô hiệu hóa cổng VNPay theo mô hình ký quỹ</t>
        </is>
      </c>
      <c r="E22" s="9" t="inlineStr">
        <is>
          <t>FR-05 — Ủng hộ &amp; Thanh toán</t>
        </is>
      </c>
      <c r="F22" s="9" t="inlineStr">
        <is>
          <t>TC_PLED_005</t>
        </is>
      </c>
      <c r="G22" s="8">
        <f>COUNTIF('TC List'!$A$2:$A$96, "TR-021")</f>
        <v/>
      </c>
      <c r="H22" s="8">
        <f>I22+J22+K22</f>
        <v/>
      </c>
      <c r="I22" s="8">
        <f>COUNTIFS('TC List'!$A$2:$A$96, "TR-021", 'TC List'!$J$2:$J$96, "PASS")</f>
        <v/>
      </c>
      <c r="J22" s="8">
        <f>COUNTIFS('TC List'!$A$2:$A$96, "TR-021", 'TC List'!$J$2:$J$96, "FAIL")</f>
        <v/>
      </c>
      <c r="K22" s="8">
        <f>COUNTIFS('TC List'!$A$2:$A$96, "TR-021", 'TC List'!$J$2:$J$96, "BLOCKED")</f>
        <v/>
      </c>
      <c r="L22" s="8">
        <f>G22-H22</f>
        <v/>
      </c>
      <c r="M22" s="9" t="inlineStr">
        <is>
          <t>Bùi Đặng Quốc Khánh</t>
        </is>
      </c>
    </row>
    <row r="23" ht="24" customHeight="1">
      <c r="A23" s="8" t="n">
        <v>22</v>
      </c>
      <c r="B23" s="8" t="inlineStr">
        <is>
          <t>TR-022</t>
        </is>
      </c>
      <c r="C23" s="8" t="inlineStr">
        <is>
          <t>PLEDGE</t>
        </is>
      </c>
      <c r="D23" s="9" t="inlineStr">
        <is>
          <t>Xác nhận vô hiệu hóa cổng PayOS theo mô hình ký quỹ</t>
        </is>
      </c>
      <c r="E23" s="9" t="inlineStr">
        <is>
          <t>FR-05 — Ủng hộ &amp; Thanh toán</t>
        </is>
      </c>
      <c r="F23" s="9" t="inlineStr">
        <is>
          <t>TC_PLED_006</t>
        </is>
      </c>
      <c r="G23" s="8">
        <f>COUNTIF('TC List'!$A$2:$A$96, "TR-022")</f>
        <v/>
      </c>
      <c r="H23" s="8">
        <f>I23+J23+K23</f>
        <v/>
      </c>
      <c r="I23" s="8">
        <f>COUNTIFS('TC List'!$A$2:$A$96, "TR-022", 'TC List'!$J$2:$J$96, "PASS")</f>
        <v/>
      </c>
      <c r="J23" s="8">
        <f>COUNTIFS('TC List'!$A$2:$A$96, "TR-022", 'TC List'!$J$2:$J$96, "FAIL")</f>
        <v/>
      </c>
      <c r="K23" s="8">
        <f>COUNTIFS('TC List'!$A$2:$A$96, "TR-022", 'TC List'!$J$2:$J$96, "BLOCKED")</f>
        <v/>
      </c>
      <c r="L23" s="8">
        <f>G23-H23</f>
        <v/>
      </c>
      <c r="M23" s="9" t="inlineStr">
        <is>
          <t>Bùi Đặng Quốc Khánh</t>
        </is>
      </c>
    </row>
    <row r="24" ht="24" customHeight="1">
      <c r="A24" s="8" t="n">
        <v>23</v>
      </c>
      <c r="B24" s="8" t="inlineStr">
        <is>
          <t>TR-023</t>
        </is>
      </c>
      <c r="C24" s="8" t="inlineStr">
        <is>
          <t>PLEDGE</t>
        </is>
      </c>
      <c r="D24" s="9" t="inlineStr">
        <is>
          <t>Admin đối soát và xác nhận khớp khoản tiền ủng hộ</t>
        </is>
      </c>
      <c r="E24" s="9" t="inlineStr">
        <is>
          <t>FR-05 — Ủng hộ &amp; Thanh toán</t>
        </is>
      </c>
      <c r="F24" s="9" t="inlineStr">
        <is>
          <t>TC_PLED_007, TC_PLED_008, TC_PLED_009, TC_PLED_010</t>
        </is>
      </c>
      <c r="G24" s="8">
        <f>COUNTIF('TC List'!$A$2:$A$96, "TR-023")</f>
        <v/>
      </c>
      <c r="H24" s="8">
        <f>I24+J24+K24</f>
        <v/>
      </c>
      <c r="I24" s="8">
        <f>COUNTIFS('TC List'!$A$2:$A$96, "TR-023", 'TC List'!$J$2:$J$96, "PASS")</f>
        <v/>
      </c>
      <c r="J24" s="8">
        <f>COUNTIFS('TC List'!$A$2:$A$96, "TR-023", 'TC List'!$J$2:$J$96, "FAIL")</f>
        <v/>
      </c>
      <c r="K24" s="8">
        <f>COUNTIFS('TC List'!$A$2:$A$96, "TR-023", 'TC List'!$J$2:$J$96, "BLOCKED")</f>
        <v/>
      </c>
      <c r="L24" s="8">
        <f>G24-H24</f>
        <v/>
      </c>
      <c r="M24" s="9" t="inlineStr">
        <is>
          <t>Bùi Đặng Quốc Khánh</t>
        </is>
      </c>
    </row>
    <row r="25" ht="24" customHeight="1">
      <c r="A25" s="8" t="n">
        <v>24</v>
      </c>
      <c r="B25" s="8" t="inlineStr">
        <is>
          <t>TR-024</t>
        </is>
      </c>
      <c r="C25" s="8" t="inlineStr">
        <is>
          <t>CERT</t>
        </is>
      </c>
      <c r="D25" s="9" t="inlineStr">
        <is>
          <t>Tra cứu công khai chứng từ và mã giao dịch</t>
        </is>
      </c>
      <c r="E25" s="9" t="inlineStr">
        <is>
          <t>FR-06 — Minh bạch, Chứng từ &amp; Sổ cái</t>
        </is>
      </c>
      <c r="F25" s="9" t="inlineStr">
        <is>
          <t>TC_CERT_001, TC_CERT_002, TC_CERT_003</t>
        </is>
      </c>
      <c r="G25" s="8">
        <f>COUNTIF('TC List'!$A$2:$A$96, "TR-024")</f>
        <v/>
      </c>
      <c r="H25" s="8">
        <f>I25+J25+K25</f>
        <v/>
      </c>
      <c r="I25" s="8">
        <f>COUNTIFS('TC List'!$A$2:$A$96, "TR-024", 'TC List'!$J$2:$J$96, "PASS")</f>
        <v/>
      </c>
      <c r="J25" s="8">
        <f>COUNTIFS('TC List'!$A$2:$A$96, "TR-024", 'TC List'!$J$2:$J$96, "FAIL")</f>
        <v/>
      </c>
      <c r="K25" s="8">
        <f>COUNTIFS('TC List'!$A$2:$A$96, "TR-024", 'TC List'!$J$2:$J$96, "BLOCKED")</f>
        <v/>
      </c>
      <c r="L25" s="8">
        <f>G25-H25</f>
        <v/>
      </c>
      <c r="M25" s="9" t="inlineStr">
        <is>
          <t>Bùi Đặng Quốc Khánh</t>
        </is>
      </c>
    </row>
    <row r="26" ht="24" customHeight="1">
      <c r="A26" s="8" t="n">
        <v>25</v>
      </c>
      <c r="B26" s="8" t="inlineStr">
        <is>
          <t>TR-025</t>
        </is>
      </c>
      <c r="C26" s="8" t="inlineStr">
        <is>
          <t>CERT</t>
        </is>
      </c>
      <c r="D26" s="9" t="inlineStr">
        <is>
          <t>Xem giấy chứng nhận đóng góp điện tử trực tuyến</t>
        </is>
      </c>
      <c r="E26" s="9" t="inlineStr">
        <is>
          <t>FR-06 — Minh bạch, Chứng từ &amp; Sổ cái</t>
        </is>
      </c>
      <c r="F26" s="9" t="inlineStr">
        <is>
          <t>TC_CERT_004, TC_CERT_005</t>
        </is>
      </c>
      <c r="G26" s="8">
        <f>COUNTIF('TC List'!$A$2:$A$96, "TR-025")</f>
        <v/>
      </c>
      <c r="H26" s="8">
        <f>I26+J26+K26</f>
        <v/>
      </c>
      <c r="I26" s="8">
        <f>COUNTIFS('TC List'!$A$2:$A$96, "TR-025", 'TC List'!$J$2:$J$96, "PASS")</f>
        <v/>
      </c>
      <c r="J26" s="8">
        <f>COUNTIFS('TC List'!$A$2:$A$96, "TR-025", 'TC List'!$J$2:$J$96, "FAIL")</f>
        <v/>
      </c>
      <c r="K26" s="8">
        <f>COUNTIFS('TC List'!$A$2:$A$96, "TR-025", 'TC List'!$J$2:$J$96, "BLOCKED")</f>
        <v/>
      </c>
      <c r="L26" s="8">
        <f>G26-H26</f>
        <v/>
      </c>
      <c r="M26" s="9" t="inlineStr">
        <is>
          <t>Bùi Đặng Quốc Khánh</t>
        </is>
      </c>
    </row>
    <row r="27" ht="24" customHeight="1">
      <c r="A27" s="8" t="n">
        <v>26</v>
      </c>
      <c r="B27" s="8" t="inlineStr">
        <is>
          <t>TR-026</t>
        </is>
      </c>
      <c r="C27" s="8" t="inlineStr">
        <is>
          <t>CERT</t>
        </is>
      </c>
      <c r="D27" s="9" t="inlineStr">
        <is>
          <t>Xem hóa đơn điện tử minh bạch giao dịch</t>
        </is>
      </c>
      <c r="E27" s="9" t="inlineStr">
        <is>
          <t>FR-06 — Minh bạch, Chứng từ &amp; Sổ cái</t>
        </is>
      </c>
      <c r="F27" s="9" t="inlineStr">
        <is>
          <t>TC_CERT_006, TC_CERT_007</t>
        </is>
      </c>
      <c r="G27" s="8">
        <f>COUNTIF('TC List'!$A$2:$A$96, "TR-026")</f>
        <v/>
      </c>
      <c r="H27" s="8">
        <f>I27+J27+K27</f>
        <v/>
      </c>
      <c r="I27" s="8">
        <f>COUNTIFS('TC List'!$A$2:$A$96, "TR-026", 'TC List'!$J$2:$J$96, "PASS")</f>
        <v/>
      </c>
      <c r="J27" s="8">
        <f>COUNTIFS('TC List'!$A$2:$A$96, "TR-026", 'TC List'!$J$2:$J$96, "FAIL")</f>
        <v/>
      </c>
      <c r="K27" s="8">
        <f>COUNTIFS('TC List'!$A$2:$A$96, "TR-026", 'TC List'!$J$2:$J$96, "BLOCKED")</f>
        <v/>
      </c>
      <c r="L27" s="8">
        <f>G27-H27</f>
        <v/>
      </c>
      <c r="M27" s="9" t="inlineStr">
        <is>
          <t>Bùi Đặng Quốc Khánh</t>
        </is>
      </c>
    </row>
    <row r="28" ht="24" customHeight="1">
      <c r="A28" s="8" t="n">
        <v>27</v>
      </c>
      <c r="B28" s="8" t="inlineStr">
        <is>
          <t>TR-027</t>
        </is>
      </c>
      <c r="C28" s="8" t="inlineStr">
        <is>
          <t>CERT</t>
        </is>
      </c>
      <c r="D28" s="9" t="inlineStr">
        <is>
          <t>Xem sổ cái thu chi minh bạch tài chính công cộng</t>
        </is>
      </c>
      <c r="E28" s="9" t="inlineStr">
        <is>
          <t>FR-06 — Minh bạch, Chứng từ &amp; Sổ cái</t>
        </is>
      </c>
      <c r="F28" s="9" t="inlineStr">
        <is>
          <t>TC_CERT_008, TC_CERT_009, TC_CERT_010</t>
        </is>
      </c>
      <c r="G28" s="8">
        <f>COUNTIF('TC List'!$A$2:$A$96, "TR-027")</f>
        <v/>
      </c>
      <c r="H28" s="8">
        <f>I28+J28+K28</f>
        <v/>
      </c>
      <c r="I28" s="8">
        <f>COUNTIFS('TC List'!$A$2:$A$96, "TR-027", 'TC List'!$J$2:$J$96, "PASS")</f>
        <v/>
      </c>
      <c r="J28" s="8">
        <f>COUNTIFS('TC List'!$A$2:$A$96, "TR-027", 'TC List'!$J$2:$J$96, "FAIL")</f>
        <v/>
      </c>
      <c r="K28" s="8">
        <f>COUNTIFS('TC List'!$A$2:$A$96, "TR-027", 'TC List'!$J$2:$J$96, "BLOCKED")</f>
        <v/>
      </c>
      <c r="L28" s="8">
        <f>G28-H28</f>
        <v/>
      </c>
      <c r="M28" s="9" t="inlineStr">
        <is>
          <t>Bùi Đặng Quốc Khánh</t>
        </is>
      </c>
    </row>
    <row r="29" ht="24" customHeight="1">
      <c r="A29" s="8" t="n">
        <v>28</v>
      </c>
      <c r="B29" s="8" t="inlineStr">
        <is>
          <t>TR-028</t>
        </is>
      </c>
      <c r="C29" s="8" t="inlineStr">
        <is>
          <t>COMM</t>
        </is>
      </c>
      <c r="D29" s="9" t="inlineStr">
        <is>
          <t>Gửi phản hồi và góp ý cải tiến hệ thống</t>
        </is>
      </c>
      <c r="E29" s="9" t="inlineStr">
        <is>
          <t>FR-07 — Tương tác &amp; Phản hồi cộng đồng</t>
        </is>
      </c>
      <c r="F29" s="9" t="inlineStr">
        <is>
          <t>TC_COMM_001, TC_COMM_002, TC_COMM_003, TC_COMM_004, TC_COMM_005</t>
        </is>
      </c>
      <c r="G29" s="8">
        <f>COUNTIF('TC List'!$A$2:$A$96, "TR-028")</f>
        <v/>
      </c>
      <c r="H29" s="8">
        <f>I29+J29+K29</f>
        <v/>
      </c>
      <c r="I29" s="8">
        <f>COUNTIFS('TC List'!$A$2:$A$96, "TR-028", 'TC List'!$J$2:$J$96, "PASS")</f>
        <v/>
      </c>
      <c r="J29" s="8">
        <f>COUNTIFS('TC List'!$A$2:$A$96, "TR-028", 'TC List'!$J$2:$J$96, "FAIL")</f>
        <v/>
      </c>
      <c r="K29" s="8">
        <f>COUNTIFS('TC List'!$A$2:$A$96, "TR-028", 'TC List'!$J$2:$J$96, "BLOCKED")</f>
        <v/>
      </c>
      <c r="L29" s="8">
        <f>G29-H29</f>
        <v/>
      </c>
      <c r="M29" s="9" t="inlineStr">
        <is>
          <t>Nguyễn Trung Tiến</t>
        </is>
      </c>
    </row>
    <row r="30" ht="24" customHeight="1">
      <c r="A30" s="8" t="n">
        <v>29</v>
      </c>
      <c r="B30" s="8" t="inlineStr">
        <is>
          <t>TR-029</t>
        </is>
      </c>
      <c r="C30" s="8" t="inlineStr">
        <is>
          <t>COMM</t>
        </is>
      </c>
      <c r="D30" s="9" t="inlineStr">
        <is>
          <t>Báo cáo vi phạm chiến dịch hoặc nội dung độc hại</t>
        </is>
      </c>
      <c r="E30" s="9" t="inlineStr">
        <is>
          <t>FR-07 — Tương tác &amp; Phản hồi cộng đồng</t>
        </is>
      </c>
      <c r="F30" s="9" t="inlineStr">
        <is>
          <t>TC_COMM_006, TC_COMM_007</t>
        </is>
      </c>
      <c r="G30" s="8">
        <f>COUNTIF('TC List'!$A$2:$A$96, "TR-029")</f>
        <v/>
      </c>
      <c r="H30" s="8">
        <f>I30+J30+K30</f>
        <v/>
      </c>
      <c r="I30" s="8">
        <f>COUNTIFS('TC List'!$A$2:$A$96, "TR-029", 'TC List'!$J$2:$J$96, "PASS")</f>
        <v/>
      </c>
      <c r="J30" s="8">
        <f>COUNTIFS('TC List'!$A$2:$A$96, "TR-029", 'TC List'!$J$2:$J$96, "FAIL")</f>
        <v/>
      </c>
      <c r="K30" s="8">
        <f>COUNTIFS('TC List'!$A$2:$A$96, "TR-029", 'TC List'!$J$2:$J$96, "BLOCKED")</f>
        <v/>
      </c>
      <c r="L30" s="8">
        <f>G30-H30</f>
        <v/>
      </c>
      <c r="M30" s="9" t="inlineStr">
        <is>
          <t>Nguyễn Trung Tiến</t>
        </is>
      </c>
    </row>
    <row r="31" ht="24" customHeight="1">
      <c r="A31" s="8" t="n">
        <v>30</v>
      </c>
      <c r="B31" s="8" t="inlineStr">
        <is>
          <t>TR-030</t>
        </is>
      </c>
      <c r="C31" s="8" t="inlineStr">
        <is>
          <t>COMM</t>
        </is>
      </c>
      <c r="D31" s="9" t="inlineStr">
        <is>
          <t>Theo dõi và nhận thông báo cập nhật từ chiến dịch</t>
        </is>
      </c>
      <c r="E31" s="9" t="inlineStr">
        <is>
          <t>FR-07 — Tương tác &amp; Phản hồi cộng đồng</t>
        </is>
      </c>
      <c r="F31" s="9" t="inlineStr">
        <is>
          <t>TC_COMM_008</t>
        </is>
      </c>
      <c r="G31" s="8">
        <f>COUNTIF('TC List'!$A$2:$A$96, "TR-030")</f>
        <v/>
      </c>
      <c r="H31" s="8">
        <f>I31+J31+K31</f>
        <v/>
      </c>
      <c r="I31" s="8">
        <f>COUNTIFS('TC List'!$A$2:$A$96, "TR-030", 'TC List'!$J$2:$J$96, "PASS")</f>
        <v/>
      </c>
      <c r="J31" s="8">
        <f>COUNTIFS('TC List'!$A$2:$A$96, "TR-030", 'TC List'!$J$2:$J$96, "FAIL")</f>
        <v/>
      </c>
      <c r="K31" s="8">
        <f>COUNTIFS('TC List'!$A$2:$A$96, "TR-030", 'TC List'!$J$2:$J$96, "BLOCKED")</f>
        <v/>
      </c>
      <c r="L31" s="8">
        <f>G31-H31</f>
        <v/>
      </c>
      <c r="M31" s="9" t="inlineStr">
        <is>
          <t>Nguyễn Trung Tiến</t>
        </is>
      </c>
    </row>
    <row r="32" ht="24" customHeight="1">
      <c r="A32" s="8" t="n">
        <v>31</v>
      </c>
      <c r="B32" s="8" t="inlineStr">
        <is>
          <t>TR-031</t>
        </is>
      </c>
      <c r="C32" s="8" t="inlineStr">
        <is>
          <t>COMM</t>
        </is>
      </c>
      <c r="D32" s="9" t="inlineStr">
        <is>
          <t>Đánh giá và nhận xét phần thưởng đã nhận</t>
        </is>
      </c>
      <c r="E32" s="9" t="inlineStr">
        <is>
          <t>FR-07 — Tương tác &amp; Phản hồi cộng đồng</t>
        </is>
      </c>
      <c r="F32" s="9" t="inlineStr">
        <is>
          <t>TC_COMM_009, TC_COMM_010, TC_COMM_011</t>
        </is>
      </c>
      <c r="G32" s="8">
        <f>COUNTIF('TC List'!$A$2:$A$96, "TR-031")</f>
        <v/>
      </c>
      <c r="H32" s="8">
        <f>I32+J32+K32</f>
        <v/>
      </c>
      <c r="I32" s="8">
        <f>COUNTIFS('TC List'!$A$2:$A$96, "TR-031", 'TC List'!$J$2:$J$96, "PASS")</f>
        <v/>
      </c>
      <c r="J32" s="8">
        <f>COUNTIFS('TC List'!$A$2:$A$96, "TR-031", 'TC List'!$J$2:$J$96, "FAIL")</f>
        <v/>
      </c>
      <c r="K32" s="8">
        <f>COUNTIFS('TC List'!$A$2:$A$96, "TR-031", 'TC List'!$J$2:$J$96, "BLOCKED")</f>
        <v/>
      </c>
      <c r="L32" s="8">
        <f>G32-H32</f>
        <v/>
      </c>
      <c r="M32" s="9" t="inlineStr">
        <is>
          <t>Nguyễn Trung Tiến</t>
        </is>
      </c>
    </row>
    <row r="33" ht="24" customHeight="1">
      <c r="A33" s="8" t="n">
        <v>32</v>
      </c>
      <c r="B33" s="8" t="inlineStr">
        <is>
          <t>TR-032</t>
        </is>
      </c>
      <c r="C33" s="8" t="inlineStr">
        <is>
          <t>BLOG</t>
        </is>
      </c>
      <c r="D33" s="9" t="inlineStr">
        <is>
          <t>Xem danh sách và bài viết tin tức cộng đồng</t>
        </is>
      </c>
      <c r="E33" s="9" t="inlineStr">
        <is>
          <t>FR-08 — Blog &amp; Nhật ký Dự án</t>
        </is>
      </c>
      <c r="F33" s="9" t="inlineStr">
        <is>
          <t>TC_BLOG_001, TC_BLOG_002, TC_BLOG_003, TC_BLOG_004</t>
        </is>
      </c>
      <c r="G33" s="8">
        <f>COUNTIF('TC List'!$A$2:$A$96, "TR-032")</f>
        <v/>
      </c>
      <c r="H33" s="8">
        <f>I33+J33+K33</f>
        <v/>
      </c>
      <c r="I33" s="8">
        <f>COUNTIFS('TC List'!$A$2:$A$96, "TR-032", 'TC List'!$J$2:$J$96, "PASS")</f>
        <v/>
      </c>
      <c r="J33" s="8">
        <f>COUNTIFS('TC List'!$A$2:$A$96, "TR-032", 'TC List'!$J$2:$J$96, "FAIL")</f>
        <v/>
      </c>
      <c r="K33" s="8">
        <f>COUNTIFS('TC List'!$A$2:$A$96, "TR-032", 'TC List'!$J$2:$J$96, "BLOCKED")</f>
        <v/>
      </c>
      <c r="L33" s="8">
        <f>G33-H33</f>
        <v/>
      </c>
      <c r="M33" s="9" t="inlineStr">
        <is>
          <t>Nguyễn Trung Tiến</t>
        </is>
      </c>
    </row>
    <row r="34" ht="24" customHeight="1">
      <c r="A34" s="8" t="n">
        <v>33</v>
      </c>
      <c r="B34" s="8" t="inlineStr">
        <is>
          <t>TR-033</t>
        </is>
      </c>
      <c r="C34" s="8" t="inlineStr">
        <is>
          <t>BLOG</t>
        </is>
      </c>
      <c r="D34" s="9" t="inlineStr">
        <is>
          <t>Soạn thảo và đăng bài viết blog dự án</t>
        </is>
      </c>
      <c r="E34" s="9" t="inlineStr">
        <is>
          <t>FR-08 — Blog &amp; Nhật ký Dự án</t>
        </is>
      </c>
      <c r="F34" s="9" t="inlineStr">
        <is>
          <t>TC_BLOG_005, TC_BLOG_006, TC_BLOG_007</t>
        </is>
      </c>
      <c r="G34" s="8">
        <f>COUNTIF('TC List'!$A$2:$A$96, "TR-033")</f>
        <v/>
      </c>
      <c r="H34" s="8">
        <f>I34+J34+K34</f>
        <v/>
      </c>
      <c r="I34" s="8">
        <f>COUNTIFS('TC List'!$A$2:$A$96, "TR-033", 'TC List'!$J$2:$J$96, "PASS")</f>
        <v/>
      </c>
      <c r="J34" s="8">
        <f>COUNTIFS('TC List'!$A$2:$A$96, "TR-033", 'TC List'!$J$2:$J$96, "FAIL")</f>
        <v/>
      </c>
      <c r="K34" s="8">
        <f>COUNTIFS('TC List'!$A$2:$A$96, "TR-033", 'TC List'!$J$2:$J$96, "BLOCKED")</f>
        <v/>
      </c>
      <c r="L34" s="8">
        <f>G34-H34</f>
        <v/>
      </c>
      <c r="M34" s="9" t="inlineStr">
        <is>
          <t>Nguyễn Trung Tiến</t>
        </is>
      </c>
    </row>
    <row r="35" ht="24" customHeight="1">
      <c r="A35" s="8" t="n">
        <v>34</v>
      </c>
      <c r="B35" s="8" t="inlineStr">
        <is>
          <t>TR-034</t>
        </is>
      </c>
      <c r="C35" s="8" t="inlineStr">
        <is>
          <t>BLOG</t>
        </is>
      </c>
      <c r="D35" s="9" t="inlineStr">
        <is>
          <t>Thích và lưu dấu bài viết blog yêu thích</t>
        </is>
      </c>
      <c r="E35" s="9" t="inlineStr">
        <is>
          <t>FR-08 — Blog &amp; Nhật ký Dự án</t>
        </is>
      </c>
      <c r="F35" s="9" t="inlineStr">
        <is>
          <t>TC_BLOG_008, TC_BLOG_009</t>
        </is>
      </c>
      <c r="G35" s="8">
        <f>COUNTIF('TC List'!$A$2:$A$96, "TR-034")</f>
        <v/>
      </c>
      <c r="H35" s="8">
        <f>I35+J35+K35</f>
        <v/>
      </c>
      <c r="I35" s="8">
        <f>COUNTIFS('TC List'!$A$2:$A$96, "TR-034", 'TC List'!$J$2:$J$96, "PASS")</f>
        <v/>
      </c>
      <c r="J35" s="8">
        <f>COUNTIFS('TC List'!$A$2:$A$96, "TR-034", 'TC List'!$J$2:$J$96, "FAIL")</f>
        <v/>
      </c>
      <c r="K35" s="8">
        <f>COUNTIFS('TC List'!$A$2:$A$96, "TR-034", 'TC List'!$J$2:$J$96, "BLOCKED")</f>
        <v/>
      </c>
      <c r="L35" s="8">
        <f>G35-H35</f>
        <v/>
      </c>
      <c r="M35" s="9" t="inlineStr">
        <is>
          <t>Nguyễn Trung Tiến</t>
        </is>
      </c>
    </row>
    <row r="36" ht="24" customHeight="1">
      <c r="A36" s="8" t="n">
        <v>35</v>
      </c>
      <c r="B36" s="8" t="inlineStr">
        <is>
          <t>TR-035</t>
        </is>
      </c>
      <c r="C36" s="8" t="inlineStr">
        <is>
          <t>BLOG</t>
        </is>
      </c>
      <c r="D36" s="9" t="inlineStr">
        <is>
          <t>Admin kiểm duyệt bài viết trước khi xuất bản</t>
        </is>
      </c>
      <c r="E36" s="9" t="inlineStr">
        <is>
          <t>FR-08 — Blog &amp; Nhật ký Dự án</t>
        </is>
      </c>
      <c r="F36" s="9" t="inlineStr">
        <is>
          <t>TC_BLOG_010, TC_BLOG_011, TC_BLOG_012</t>
        </is>
      </c>
      <c r="G36" s="8">
        <f>COUNTIF('TC List'!$A$2:$A$96, "TR-035")</f>
        <v/>
      </c>
      <c r="H36" s="8">
        <f>I36+J36+K36</f>
        <v/>
      </c>
      <c r="I36" s="8">
        <f>COUNTIFS('TC List'!$A$2:$A$96, "TR-035", 'TC List'!$J$2:$J$96, "PASS")</f>
        <v/>
      </c>
      <c r="J36" s="8">
        <f>COUNTIFS('TC List'!$A$2:$A$96, "TR-035", 'TC List'!$J$2:$J$96, "FAIL")</f>
        <v/>
      </c>
      <c r="K36" s="8">
        <f>COUNTIFS('TC List'!$A$2:$A$96, "TR-035", 'TC List'!$J$2:$J$96, "BLOCKED")</f>
        <v/>
      </c>
      <c r="L36" s="8">
        <f>G36-H36</f>
        <v/>
      </c>
      <c r="M36" s="9" t="inlineStr">
        <is>
          <t>Nguyễn Trung Tiến</t>
        </is>
      </c>
    </row>
    <row r="37" ht="24" customHeight="1">
      <c r="A37" s="8" t="n">
        <v>36</v>
      </c>
      <c r="B37" s="8" t="inlineStr">
        <is>
          <t>TR-036</t>
        </is>
      </c>
      <c r="C37" s="8" t="inlineStr">
        <is>
          <t>CHAT</t>
        </is>
      </c>
      <c r="D37" s="9" t="inlineStr">
        <is>
          <t>Truy cập giao diện danh sách tin nhắn hội thoại</t>
        </is>
      </c>
      <c r="E37" s="9" t="inlineStr">
        <is>
          <t>FR-09 — Nhắn tin &amp; Cuộc gọi P2P</t>
        </is>
      </c>
      <c r="F37" s="9" t="inlineStr">
        <is>
          <t>TC_CHAT_001, TC_CHAT_002</t>
        </is>
      </c>
      <c r="G37" s="8">
        <f>COUNTIF('TC List'!$A$2:$A$96, "TR-036")</f>
        <v/>
      </c>
      <c r="H37" s="8">
        <f>I37+J37+K37</f>
        <v/>
      </c>
      <c r="I37" s="8">
        <f>COUNTIFS('TC List'!$A$2:$A$96, "TR-036", 'TC List'!$J$2:$J$96, "PASS")</f>
        <v/>
      </c>
      <c r="J37" s="8">
        <f>COUNTIFS('TC List'!$A$2:$A$96, "TR-036", 'TC List'!$J$2:$J$96, "FAIL")</f>
        <v/>
      </c>
      <c r="K37" s="8">
        <f>COUNTIFS('TC List'!$A$2:$A$96, "TR-036", 'TC List'!$J$2:$J$96, "BLOCKED")</f>
        <v/>
      </c>
      <c r="L37" s="8">
        <f>G37-H37</f>
        <v/>
      </c>
      <c r="M37" s="9" t="inlineStr">
        <is>
          <t>Nguyễn Khánh Du</t>
        </is>
      </c>
    </row>
    <row r="38" ht="24" customHeight="1">
      <c r="A38" s="8" t="n">
        <v>37</v>
      </c>
      <c r="B38" s="8" t="inlineStr">
        <is>
          <t>TR-037</t>
        </is>
      </c>
      <c r="C38" s="8" t="inlineStr">
        <is>
          <t>CHAT</t>
        </is>
      </c>
      <c r="D38" s="9" t="inlineStr">
        <is>
          <t>Cơ chế truyền tín hiệu cuộc gọi P2P qua polling định kỳ</t>
        </is>
      </c>
      <c r="E38" s="9" t="inlineStr">
        <is>
          <t>FR-09 — Nhắn tin &amp; Cuộc gọi P2P</t>
        </is>
      </c>
      <c r="F38" s="9" t="inlineStr">
        <is>
          <t>TC_CHAT_003, TC_CHAT_004</t>
        </is>
      </c>
      <c r="G38" s="8">
        <f>COUNTIF('TC List'!$A$2:$A$96, "TR-037")</f>
        <v/>
      </c>
      <c r="H38" s="8">
        <f>I38+J38+K38</f>
        <v/>
      </c>
      <c r="I38" s="8">
        <f>COUNTIFS('TC List'!$A$2:$A$96, "TR-037", 'TC List'!$J$2:$J$96, "PASS")</f>
        <v/>
      </c>
      <c r="J38" s="8">
        <f>COUNTIFS('TC List'!$A$2:$A$96, "TR-037", 'TC List'!$J$2:$J$96, "FAIL")</f>
        <v/>
      </c>
      <c r="K38" s="8">
        <f>COUNTIFS('TC List'!$A$2:$A$96, "TR-037", 'TC List'!$J$2:$J$96, "BLOCKED")</f>
        <v/>
      </c>
      <c r="L38" s="8">
        <f>G38-H38</f>
        <v/>
      </c>
      <c r="M38" s="9" t="inlineStr">
        <is>
          <t>Nguyễn Khánh Du</t>
        </is>
      </c>
    </row>
    <row r="39" ht="24" customHeight="1">
      <c r="A39" s="8" t="n">
        <v>38</v>
      </c>
      <c r="B39" s="8" t="inlineStr">
        <is>
          <t>TR-038</t>
        </is>
      </c>
      <c r="C39" s="8" t="inlineStr">
        <is>
          <t>CHAT</t>
        </is>
      </c>
      <c r="D39" s="9" t="inlineStr">
        <is>
          <t>Khởi tạo và kết nối cuộc gọi thoại âm thanh P2P</t>
        </is>
      </c>
      <c r="E39" s="9" t="inlineStr">
        <is>
          <t>FR-09 — Nhắn tin &amp; Cuộc gọi P2P</t>
        </is>
      </c>
      <c r="F39" s="9" t="inlineStr">
        <is>
          <t>TC_CHAT_005, TC_CHAT_006</t>
        </is>
      </c>
      <c r="G39" s="8">
        <f>COUNTIF('TC List'!$A$2:$A$96, "TR-038")</f>
        <v/>
      </c>
      <c r="H39" s="8">
        <f>I39+J39+K39</f>
        <v/>
      </c>
      <c r="I39" s="8">
        <f>COUNTIFS('TC List'!$A$2:$A$96, "TR-038", 'TC List'!$J$2:$J$96, "PASS")</f>
        <v/>
      </c>
      <c r="J39" s="8">
        <f>COUNTIFS('TC List'!$A$2:$A$96, "TR-038", 'TC List'!$J$2:$J$96, "FAIL")</f>
        <v/>
      </c>
      <c r="K39" s="8">
        <f>COUNTIFS('TC List'!$A$2:$A$96, "TR-038", 'TC List'!$J$2:$J$96, "BLOCKED")</f>
        <v/>
      </c>
      <c r="L39" s="8">
        <f>G39-H39</f>
        <v/>
      </c>
      <c r="M39" s="9" t="inlineStr">
        <is>
          <t>Nguyễn Khánh Du</t>
        </is>
      </c>
    </row>
    <row r="40" ht="24" customHeight="1">
      <c r="A40" s="8" t="n">
        <v>39</v>
      </c>
      <c r="B40" s="8" t="inlineStr">
        <is>
          <t>TR-039</t>
        </is>
      </c>
      <c r="C40" s="8" t="inlineStr">
        <is>
          <t>ADMIN</t>
        </is>
      </c>
      <c r="D40" s="9" t="inlineStr">
        <is>
          <t>Phân quyền bảo vệ bảng điều khiển quản trị tối cao</t>
        </is>
      </c>
      <c r="E40" s="9" t="inlineStr">
        <is>
          <t>FR-10 — Quản trị Hệ thống &amp; Kiểm duyệt</t>
        </is>
      </c>
      <c r="F40" s="9" t="inlineStr">
        <is>
          <t>TC_ADMN_001, TC_ADMN_002</t>
        </is>
      </c>
      <c r="G40" s="8">
        <f>COUNTIF('TC List'!$A$2:$A$96, "TR-039")</f>
        <v/>
      </c>
      <c r="H40" s="8">
        <f>I40+J40+K40</f>
        <v/>
      </c>
      <c r="I40" s="8">
        <f>COUNTIFS('TC List'!$A$2:$A$96, "TR-039", 'TC List'!$J$2:$J$96, "PASS")</f>
        <v/>
      </c>
      <c r="J40" s="8">
        <f>COUNTIFS('TC List'!$A$2:$A$96, "TR-039", 'TC List'!$J$2:$J$96, "FAIL")</f>
        <v/>
      </c>
      <c r="K40" s="8">
        <f>COUNTIFS('TC List'!$A$2:$A$96, "TR-039", 'TC List'!$J$2:$J$96, "BLOCKED")</f>
        <v/>
      </c>
      <c r="L40" s="8">
        <f>G40-H40</f>
        <v/>
      </c>
      <c r="M40" s="9" t="inlineStr">
        <is>
          <t>Nguyễn Khánh Du</t>
        </is>
      </c>
    </row>
    <row r="41" ht="24" customHeight="1">
      <c r="A41" s="8" t="n">
        <v>40</v>
      </c>
      <c r="B41" s="8" t="inlineStr">
        <is>
          <t>TR-040</t>
        </is>
      </c>
      <c r="C41" s="8" t="inlineStr">
        <is>
          <t>ADMIN</t>
        </is>
      </c>
      <c r="D41" s="9" t="inlineStr">
        <is>
          <t>Quản lý tài khoản người dùng và khóa vi phạm</t>
        </is>
      </c>
      <c r="E41" s="9" t="inlineStr">
        <is>
          <t>FR-10 — Quản trị Hệ thống &amp; Kiểm duyệt</t>
        </is>
      </c>
      <c r="F41" s="9" t="inlineStr">
        <is>
          <t>TC_ADMN_003, TC_ADMN_004</t>
        </is>
      </c>
      <c r="G41" s="8">
        <f>COUNTIF('TC List'!$A$2:$A$96, "TR-040")</f>
        <v/>
      </c>
      <c r="H41" s="8">
        <f>I41+J41+K41</f>
        <v/>
      </c>
      <c r="I41" s="8">
        <f>COUNTIFS('TC List'!$A$2:$A$96, "TR-040", 'TC List'!$J$2:$J$96, "PASS")</f>
        <v/>
      </c>
      <c r="J41" s="8">
        <f>COUNTIFS('TC List'!$A$2:$A$96, "TR-040", 'TC List'!$J$2:$J$96, "FAIL")</f>
        <v/>
      </c>
      <c r="K41" s="8">
        <f>COUNTIFS('TC List'!$A$2:$A$96, "TR-040", 'TC List'!$J$2:$J$96, "BLOCKED")</f>
        <v/>
      </c>
      <c r="L41" s="8">
        <f>G41-H41</f>
        <v/>
      </c>
      <c r="M41" s="9" t="inlineStr">
        <is>
          <t>Nguyễn Khánh Du</t>
        </is>
      </c>
    </row>
    <row r="42" ht="24" customHeight="1">
      <c r="A42" s="8" t="n">
        <v>41</v>
      </c>
      <c r="B42" s="8" t="inlineStr">
        <is>
          <t>TR-041</t>
        </is>
      </c>
      <c r="C42" s="8" t="inlineStr">
        <is>
          <t>ADMIN</t>
        </is>
      </c>
      <c r="D42" s="9" t="inlineStr">
        <is>
          <t>Quản lý danh sách từ khóa kiểm duyệt cấm</t>
        </is>
      </c>
      <c r="E42" s="9" t="inlineStr">
        <is>
          <t>FR-10 — Quản trị Hệ thống &amp; Kiểm duyệt</t>
        </is>
      </c>
      <c r="F42" s="9" t="inlineStr">
        <is>
          <t>TC_ADMN_005, TC_ADMN_006</t>
        </is>
      </c>
      <c r="G42" s="8">
        <f>COUNTIF('TC List'!$A$2:$A$96, "TR-041")</f>
        <v/>
      </c>
      <c r="H42" s="8">
        <f>I42+J42+K42</f>
        <v/>
      </c>
      <c r="I42" s="8">
        <f>COUNTIFS('TC List'!$A$2:$A$96, "TR-041", 'TC List'!$J$2:$J$96, "PASS")</f>
        <v/>
      </c>
      <c r="J42" s="8">
        <f>COUNTIFS('TC List'!$A$2:$A$96, "TR-041", 'TC List'!$J$2:$J$96, "FAIL")</f>
        <v/>
      </c>
      <c r="K42" s="8">
        <f>COUNTIFS('TC List'!$A$2:$A$96, "TR-041", 'TC List'!$J$2:$J$96, "BLOCKED")</f>
        <v/>
      </c>
      <c r="L42" s="8">
        <f>G42-H42</f>
        <v/>
      </c>
      <c r="M42" s="9" t="inlineStr">
        <is>
          <t>Nguyễn Khánh Du</t>
        </is>
      </c>
    </row>
    <row r="43" ht="24" customHeight="1">
      <c r="A43" s="8" t="n">
        <v>42</v>
      </c>
      <c r="B43" s="8" t="inlineStr">
        <is>
          <t>TR-042</t>
        </is>
      </c>
      <c r="C43" s="8" t="inlineStr">
        <is>
          <t>ADMIN</t>
        </is>
      </c>
      <c r="D43" s="9" t="inlineStr">
        <is>
          <t>Xem báo cáo thống kê doanh thu và phân tích hệ thống</t>
        </is>
      </c>
      <c r="E43" s="9" t="inlineStr">
        <is>
          <t>FR-10 — Quản trị Hệ thống &amp; Kiểm duyệt</t>
        </is>
      </c>
      <c r="F43" s="9" t="inlineStr">
        <is>
          <t>TC_ADMN_007, TC_ADMN_008, TC_ADMN_009</t>
        </is>
      </c>
      <c r="G43" s="8">
        <f>COUNTIF('TC List'!$A$2:$A$96, "TR-042")</f>
        <v/>
      </c>
      <c r="H43" s="8">
        <f>I43+J43+K43</f>
        <v/>
      </c>
      <c r="I43" s="8">
        <f>COUNTIFS('TC List'!$A$2:$A$96, "TR-042", 'TC List'!$J$2:$J$96, "PASS")</f>
        <v/>
      </c>
      <c r="J43" s="8">
        <f>COUNTIFS('TC List'!$A$2:$A$96, "TR-042", 'TC List'!$J$2:$J$96, "FAIL")</f>
        <v/>
      </c>
      <c r="K43" s="8">
        <f>COUNTIFS('TC List'!$A$2:$A$96, "TR-042", 'TC List'!$J$2:$J$96, "BLOCKED")</f>
        <v/>
      </c>
      <c r="L43" s="8">
        <f>G43-H43</f>
        <v/>
      </c>
      <c r="M43" s="9" t="inlineStr">
        <is>
          <t>Nguyễn Khánh Du</t>
        </is>
      </c>
    </row>
    <row r="44">
      <c r="A44" s="11" t="inlineStr">
        <is>
          <t>TỔNG CỘNG</t>
        </is>
      </c>
      <c r="B44" s="12" t="n"/>
      <c r="C44" s="12" t="n"/>
      <c r="D44" s="12" t="n"/>
      <c r="E44" s="12" t="n"/>
      <c r="F44" s="12" t="n"/>
      <c r="G44" s="11">
        <f>SUM(G2:G43)</f>
        <v/>
      </c>
      <c r="H44" s="11">
        <f>SUM(H2:H43)</f>
        <v/>
      </c>
      <c r="I44" s="11">
        <f>SUM(I2:I43)</f>
        <v/>
      </c>
      <c r="J44" s="11">
        <f>SUM(J2:J43)</f>
        <v/>
      </c>
      <c r="K44" s="11">
        <f>SUM(K2:K43)</f>
        <v/>
      </c>
      <c r="L44" s="11">
        <f>SUM(L2:L43)</f>
        <v/>
      </c>
      <c r="M44" s="16" t="inlineStr"/>
    </row>
  </sheetData>
  <mergeCells count="1">
    <mergeCell ref="A44:F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2026-10-30T10:35:39Z</dcterms:created>
  <dcterms:modified xmlns:dcterms="http://purl.org/dc/terms/" xmlns:xsi="http://www.w3.org/2001/XMLSchema-instance" xsi:type="dcterms:W3CDTF">2026-10-30T10:35:39Z</dcterms:modified>
</cp:coreProperties>
</file>