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đồ Gantt" state="visible" r:id="rId4"/>
    <sheet sheetId="2" name="Đánh giá thành viên &amp; Đóng góp" state="visible" r:id="rId5"/>
    <sheet sheetId="3" name="Tổng hợp lịch họp &amp; Biên bản" state="visible" r:id="rId6"/>
  </sheets>
  <calcPr calcId="171027"/>
</workbook>
</file>

<file path=xl/sharedStrings.xml><?xml version="1.0" encoding="utf-8"?>
<sst xmlns="http://schemas.openxmlformats.org/spreadsheetml/2006/main" count="275" uniqueCount="194">
  <si>
    <t>KẾ HOẠCH TIẾN ĐỘ THỰC HIỆN DỰ ÁN &amp; BIỂU ĐỒ GANTT (WBS)</t>
  </si>
  <si>
    <t>TRƯỜNG ĐÀO TẠO:</t>
  </si>
  <si>
    <t>Trường Đại học Lạc Hồng (LHU) — Khoa Công nghệ Thông tin</t>
  </si>
  <si>
    <t>GIÁO VIÊN BỘ MÔN:</t>
  </si>
  <si>
    <t>Nguyễn Minh Phúc</t>
  </si>
  <si>
    <t>MÔN HỌC:</t>
  </si>
  <si>
    <t>Kiểm thử và đảm bảo chất lượng phần mềm</t>
  </si>
  <si>
    <t>MÃ LỚP – NHÓM:</t>
  </si>
  <si>
    <t>23CT113 – Nhóm 02</t>
  </si>
  <si>
    <t>TÊN DỰ ÁN:</t>
  </si>
  <si>
    <t>Nền tảng gây quỹ cộng đồng Tử Tế Fund (TuTeFund)</t>
  </si>
  <si>
    <t>THỜI GIAN THỰC HIỆN:</t>
  </si>
  <si>
    <t>12/10/2026 – 01/11/2026 (3 tuần)</t>
  </si>
  <si>
    <t>QUẢN LÝ DỰ ÁN (LEAD):</t>
  </si>
  <si>
    <t>Nguyễn Quách Phú Tài (MSSV: 123000609)</t>
  </si>
  <si>
    <t>THƯ KÝ NHÓM:</t>
  </si>
  <si>
    <t>Bùi Đặng Quốc Khánh</t>
  </si>
  <si>
    <t>MÔI TRƯỜNG KIỂM THỬ:</t>
  </si>
  <si>
    <t>Local (localhost:3000) &amp; Deploy (test-gamma-azure-65.vercel.app)</t>
  </si>
  <si>
    <t>TIẾN ĐỘ HOÀN THÀNH:</t>
  </si>
  <si>
    <t>100% Hoàn thành (Completed)</t>
  </si>
  <si>
    <t>WBS</t>
  </si>
  <si>
    <t>HẠNG MỤC CÔNG VIỆC (TASK DESCRIPTION)</t>
  </si>
  <si>
    <t>NGƯỜI PHỤ TRÁCH</t>
  </si>
  <si>
    <t>NGÀY BẮT ĐẦU</t>
  </si>
  <si>
    <t>NGÀY KẾT THÚC</t>
  </si>
  <si>
    <t>SỐ NGÀY</t>
  </si>
  <si>
    <t>% HOÀN THÀNH</t>
  </si>
  <si>
    <t>TRẠNG THÁI</t>
  </si>
  <si>
    <t>TUẦN 1 (12/10 – 18/10/2026)</t>
  </si>
  <si>
    <t>TUẦN 2 (19/10 – 25/10/2026)</t>
  </si>
  <si>
    <t>TUẦN 3 (26/10 – 01/11/2026)</t>
  </si>
  <si>
    <t>T2</t>
  </si>
  <si>
    <t>T3</t>
  </si>
  <si>
    <t>T4</t>
  </si>
  <si>
    <t>T5</t>
  </si>
  <si>
    <t>T6</t>
  </si>
  <si>
    <t>T7</t>
  </si>
  <si>
    <t>CN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</si>
  <si>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</si>
  <si>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</si>
  <si>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</si>
  <si>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</si>
  <si>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</si>
  <si>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</si>
  <si>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</si>
  <si>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</si>
  <si>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</si>
  <si>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</si>
  <si>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</si>
  <si>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</si>
  <si>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</si>
  <si>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</si>
  <si>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</si>
  <si>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</si>
  <si>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</si>
  <si>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</si>
  <si>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</si>
  <si>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</si>
  <si>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</si>
  <si>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1.0</t>
  </si>
  <si>
    <t>TUẦN 1: KHỞI ĐỘNG DỰ ÁN, THIẾT KẾ YÊU CẦU &amp; KỊCH BẢN KIỂM THỬ</t>
  </si>
  <si>
    <t>Cả nhóm / Test Lead</t>
  </si>
  <si>
    <t>12/10/2026</t>
  </si>
  <si>
    <t>18/10/2026</t>
  </si>
  <si>
    <t>Hoàn thành</t>
  </si>
  <si>
    <t>1.1</t>
  </si>
  <si>
    <t>Khảo sát dự án, phân tích PRD 2.0.0 (29 REQs) &amp; Lập Test Plan</t>
  </si>
  <si>
    <t>Nguyễn Quách Phú Tài</t>
  </si>
  <si>
    <t>13/10/2026</t>
  </si>
  <si>
    <t>1.2</t>
  </si>
  <si>
    <t>Họp nhóm Lần 1: Thống nhất phân công 5 module, quy chuẩn mã ID</t>
  </si>
  <si>
    <t>Cả nhóm (Thư ký: Khánh)</t>
  </si>
  <si>
    <t>1.3</t>
  </si>
  <si>
    <t>Thiết kế 33 Test Requirements (TR) &amp; 75 Test Cases cho 5 phân hệ</t>
  </si>
  <si>
    <t>Tài, Khánh, Tiến, Ân, Du</t>
  </si>
  <si>
    <t>14/10/2026</t>
  </si>
  <si>
    <t>16/10/2026</t>
  </si>
  <si>
    <t>1.4</t>
  </si>
  <si>
    <t>Xây dựng Ma trận truy vết (RTM 2 chiều), rà soát chéo test case</t>
  </si>
  <si>
    <t>17/10/2026</t>
  </si>
  <si>
    <t>2.0</t>
  </si>
  <si>
    <t>TUẦN 2: THỰC THI KIỂM THỬ, GHI NHẬN LỖI (BUG LOG) &amp; TỰ ĐỘNG HÓA</t>
  </si>
  <si>
    <t>Cả nhóm (5 thành viên)</t>
  </si>
  <si>
    <t>19/10/2026</t>
  </si>
  <si>
    <t>25/10/2026</t>
  </si>
  <si>
    <t>2.1</t>
  </si>
  <si>
    <t>Thực thi kiểm thử thủ công Vòng 1 &amp; Vòng 2 (Local &amp; Deploy Vercel)</t>
  </si>
  <si>
    <t>22/10/2026</t>
  </si>
  <si>
    <t>2.2</t>
  </si>
  <si>
    <t>Phân loại lỗi, ghi nhận danh mục Defect / Bug Log (BUG-001..008)</t>
  </si>
  <si>
    <t>2.3</t>
  </si>
  <si>
    <t>Thực thi kiểm thử tự động Jest &amp; Playwright E2E; Retest các lỗi đã vá</t>
  </si>
  <si>
    <t>23/10/2026</t>
  </si>
  <si>
    <t>24/10/2026</t>
  </si>
  <si>
    <t>2.4</t>
  </si>
  <si>
    <t>Họp nhóm Lần 2: Đánh giá kết quả kiểm thử, rà soát tỷ lệ Pass/Fail</t>
  </si>
  <si>
    <t>3.0</t>
  </si>
  <si>
    <t>TUẦN 3: TỔNG HỢP BÁO CÁO CUỐI KỲ, LÀM SLIDE &amp; NGHIỆM THU ĐỒ ÁN</t>
  </si>
  <si>
    <t>26/10/2026</t>
  </si>
  <si>
    <t>01/11/2026</t>
  </si>
  <si>
    <t>3.1</t>
  </si>
  <si>
    <t>Họp nhóm Lần 3: Tổng kết số liệu, thống nhất đánh giá 20% đóng góp</t>
  </si>
  <si>
    <t>28/10/2026</t>
  </si>
  <si>
    <t>3.2</t>
  </si>
  <si>
    <t>Soạn thảo Báo cáo kết quả kiểm thử cuối kỳ (Word Final Report 8 chương)</t>
  </si>
  <si>
    <t>27/10/2026</t>
  </si>
  <si>
    <t>29/10/2026</t>
  </si>
  <si>
    <t>3.3</t>
  </si>
  <si>
    <t>Thiết kế Slide thuyết trình PowerPoint bảo vệ đồ án nhóm</t>
  </si>
  <si>
    <t>Bùi Đặng Quốc Khánh, Nguyễn Trung Tiến</t>
  </si>
  <si>
    <t>3.4</t>
  </si>
  <si>
    <t>Rà soát tính nhất quán số liệu toàn bộ tài liệu (Excel ↔ Word ↔ PPT)</t>
  </si>
  <si>
    <t>30/10/2026</t>
  </si>
  <si>
    <t>3.5</t>
  </si>
  <si>
    <t>Đóng gói toàn bộ hồ sơ 23CT113_Nhom02 và hoàn tất nộp bài cuối kỳ</t>
  </si>
  <si>
    <t>CHÚ THÍCH MÀU SẮC BIỂU ĐỒ GANTT:</t>
  </si>
  <si>
    <t>Thanh tiến độ Giai đoạn (Tuần 1, 2, 3): Xanh dương đậm (#2563EB)</t>
  </si>
  <si>
    <t>Công việc kỹ thuật / Phân tích / Thiết kế / Test Case: Xanh dương sáng (#60A5FA)</t>
  </si>
  <si>
    <t>Các mốc Họp nhóm chính thức (Lần 1: 13/10, Lần 2: 25/10, Lần 3: 26-28/10): Màu cam vàng (#F59E0B)</t>
  </si>
  <si>
    <t>Ghi nhận lỗi &amp; Phân tích Defect / Bug Log: Màu đỏ cảnh báo (#EF4444)</t>
  </si>
  <si>
    <t>Hoàn thành hồ sơ, Nghiệm thu &amp; Nộp bài cuối kỳ (01/11): Màu xanh lá cây (#10B981)</t>
  </si>
  <si>
    <t>TRƯỜNG ĐẠI HỌC LẠC HỒNG — BẢNG PHÂN CÔNG &amp; ĐÁNH GIÁ ĐÓNG GÓP THÀNH VIÊN</t>
  </si>
  <si>
    <t>Môn: Kiểm thử và đảm bảo chất lượng phần mềm — GVBM: Nguyễn Minh Phúc — Nhóm 02 — Lớp 23CT113</t>
  </si>
  <si>
    <t>STT</t>
  </si>
  <si>
    <t>HỌ VÀ TÊN</t>
  </si>
  <si>
    <t>MSSV</t>
  </si>
  <si>
    <t>VAI TRÒ TRONG NHÓM</t>
  </si>
  <si>
    <t>MODULE / NHIỆM VỤ CHÍNH PHỤ TRÁCH</t>
  </si>
  <si>
    <t>SỐ TEST CASE</t>
  </si>
  <si>
    <t>% ĐÓNG GÓP</t>
  </si>
  <si>
    <t>ĐIỂM NỘI BỘ (100)</t>
  </si>
  <si>
    <t>XẾP LOẠI</t>
  </si>
  <si>
    <t>CHỮ KÝ XÁC NHẬN</t>
  </si>
  <si>
    <t>123000609</t>
  </si>
  <si>
    <t>Trưởng nhóm / Test Lead</t>
  </si>
  <si>
    <t>Quản lý dự án, biên soạn Test Plan v3, thiết kế &amp; chạy 10 TC Login/Auth, viết script kiểm thử tự động Jest/Playwright, dựng RTM, tổng hợp Test Report &amp; hoàn thiện hồ sơ</t>
  </si>
  <si>
    <t>10 TC + Auto</t>
  </si>
  <si>
    <t>Xuất sắc (A+)</t>
  </si>
  <si>
    <t>Đã xác nhận</t>
  </si>
  <si>
    <t>123000xxx</t>
  </si>
  <si>
    <t>Thư ký nhóm / Defect Lead</t>
  </si>
  <si>
    <t>Ghi biên bản họp nhóm (Lần 1, 2, 3), phân tích &amp; thiết kế 10 TC Module Reward, quản lý danh sách lỗi (Bug Log), thực thi kiểm thử và retest, phụ trách slide PowerPoint</t>
  </si>
  <si>
    <t>10 TC + Bug Log</t>
  </si>
  <si>
    <t>Xuất sắc (A)</t>
  </si>
  <si>
    <t>Nguyễn Trung Tiến</t>
  </si>
  <si>
    <t>Thành viên / Doc Specialist</t>
  </si>
  <si>
    <t>Phân tích &amp; thiết kế 10 TC Module Blog, thực thi kiểm thử chức năng bài viết/bình luận, phối hợp soạn thảo báo cáo Word 8 chương theo chuẩn Final_Report_Guidelines</t>
  </si>
  <si>
    <t>10 TC + Report</t>
  </si>
  <si>
    <t>Trần Xuân Ân</t>
  </si>
  <si>
    <t>Thành viên / Module Lead</t>
  </si>
  <si>
    <t>Phân tích &amp; thiết kế 12 TC Module Campaign, thực thi kiểm thử luồng tạo chiến dịch, gửi duyệt, rút hồ sơ và quyền admin phê duyệt chiến dịch, rà soát logic biên</t>
  </si>
  <si>
    <t>12 TC</t>
  </si>
  <si>
    <t>Nguyễn Khánh Du</t>
  </si>
  <si>
    <t>Phân tích &amp; thiết kế 12 TC Module KYC, thực thi kiểm thử xác thực căn cước cá nhân/tổ chức, kiểm thử dữ liệu biên tải ảnh và quyền admin phê duyệt KYC</t>
  </si>
  <si>
    <t>TỔNG CỘNG:</t>
  </si>
  <si>
    <t>54 TC (75 TC v3)</t>
  </si>
  <si>
    <t>100% Hoàn thành tốt</t>
  </si>
  <si>
    <t>QUY CHUẨN TIÊU CHÍ ĐÁNH GIÁ NỘI BỘ NHÓM (THANG ĐIỂM 100)</t>
  </si>
  <si>
    <t>TC1: Chuyên cần &amp; Kỷ luật</t>
  </si>
  <si>
    <t>Tham dự đầy đủ 3 buổi họp nhóm, đúng giờ, có đóng góp ý kiến xây dựng tích cực</t>
  </si>
  <si>
    <t>20 điểm</t>
  </si>
  <si>
    <t>TC2: Chất lượng Test Case &amp; Tài liệu</t>
  </si>
  <si>
    <t>Kịch bản kiểm thử rõ ràng, đầy đủ Pre-conditions, Test Data, Expected Result, bao phủ luồng Positive và Negative</t>
  </si>
  <si>
    <t>TC3: Tiến độ &amp; Đúng hạn (Deadline)</t>
  </si>
  <si>
    <t>Hoàn thành các mốc WBS đúng thời hạn trong Timeline (Tuần 1, 2, 3), không để chậm trễ</t>
  </si>
  <si>
    <t>TC4: Khối lượng công việc &amp; Trách nhiệm</t>
  </si>
  <si>
    <t>Đảm bảo phụ trách trọn vẹn module được giao, ghi nhận bug chi tiết, hỗ trợ các thành viên khác khi cần</t>
  </si>
  <si>
    <t>TC5: Tinh thần hợp tác &amp; Thái độ làm việc</t>
  </si>
  <si>
    <t>Tôn trọng ý kiến tập thể, phối hợp nhịp nhàng, cầu thị trong việc sửa lỗi và chuẩn hóa báo cáo</t>
  </si>
  <si>
    <t>TRƯỜNG ĐẠI HỌC LẠC HỒNG — NHẬT KÝ HỌP NHÓM &amp; QUYẾT ĐỊNH TRIỂN KHAI</t>
  </si>
  <si>
    <t>BUỔI HỌP</t>
  </si>
  <si>
    <t>THỜI GIAN</t>
  </si>
  <si>
    <t>HÌNH THỨC</t>
  </si>
  <si>
    <t>THƯ KÝ</t>
  </si>
  <si>
    <t>MỤC ĐÍCH &amp; NỘI DUNG CHÍNH</t>
  </si>
  <si>
    <t>KẾT QUẢ ĐẠT ĐƯỢC</t>
  </si>
  <si>
    <t>TỆP BIÊN BẢN (.DOCX)</t>
  </si>
  <si>
    <t>MINH CHỨNG ẢNH</t>
  </si>
  <si>
    <t>Họp Lần 1</t>
  </si>
  <si>
    <t>Trực tiếp tại trường</t>
  </si>
  <si>
    <t xml:space="preserve">- Khởi động đề tài kiểm thử nền tảng Tử Tế Fund
- Phân tích 29 Requirement của PRD 2.0.0
- Phân chia 5 module: Login, Campaign, Reward, Blog, KYC
- Thống nhất quy tắc đánh mã ID: REQ-*, TR-*, TC-*, BUG-*</t>
  </si>
  <si>
    <t xml:space="preserve">- Thống nhất 100% mục tiêu, phạm vi và tiến độ
- Phân công rõ chủ sở hữu từng module
- Lập kế hoạch Test Plan theo mẫu của Thầy Phúc</t>
  </si>
  <si>
    <t>Biên Bản Họp Nhóm Lần 1.docx</t>
  </si>
  <si>
    <t>Đã đính kèm ảnh</t>
  </si>
  <si>
    <t>Họp Lần 2</t>
  </si>
  <si>
    <t>Online (Google Meet)</t>
  </si>
  <si>
    <t xml:space="preserve">- Đánh giá kết quả thực thi kiểm thử 2 vòng
- Rà soát 33 TR và 75 Test Cases cho 5 phân hệ
- Kiểm tra danh sách Bug Log, phân loại Severity/Priority
- Kiểm tra tính đầy đủ của các bằng chứng lỗi</t>
  </si>
  <si>
    <t xml:space="preserve">- Hoàn thành chuẩn hóa 100% kịch bản kiểm thử
- Đồng bộ dữ liệu test data giữa 5 module
- Chốt các lỗi cần sửa và kế hoạch retest</t>
  </si>
  <si>
    <t>Biên Bản Họp Nhóm Lần 2.docx</t>
  </si>
  <si>
    <t>Họp Lần 3</t>
  </si>
  <si>
    <t xml:space="preserve">- Tổng kết kết quả kiểm thử toàn diện
- Đối soát số liệu giữa Excel, Word và Slide PowerPoint
- Thống nhất tỷ lệ % đóng góp của từng thành viên
- Chuẩn bị bảo vệ đồ án trước GVBM Nguyễn Minh Phúc</t>
  </si>
  <si>
    <t xml:space="preserve">- Thống nhất số liệu báo cáo không sai lệch
- Hoàn thiện Báo cáo Word 8 chương và Slide bảo vệ
- Ký xác nhận đóng góp 20% đều nhau cho 5 bạn</t>
  </si>
  <si>
    <t>Biên Bản Họp Nhóm Lần 3.docx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</si>
</sst>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ngày&quot;"/>
    <numFmt numFmtId="165" formatCode="0.0%"/>
    <numFmt numFmtId="166" formatCode="0.0"/>
  </numFmts>
  <fonts count="1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334155"/>
      <sz val="9"/>
      <name val="Segoe UI"/>
    </font>
    <font>
      <b/>
      <color rgb="0F172A"/>
      <sz val="9"/>
      <name val="Segoe UI"/>
    </font>
    <font>
      <color rgb="0F172A"/>
      <sz val="9"/>
      <name val="Segoe UI"/>
    </font>
    <font>
      <b/>
      <color rgb="047857"/>
      <sz val="9"/>
      <name val="Segoe UI"/>
    </font>
    <font>
      <b/>
      <color rgb="FFFFFF"/>
      <sz val="9"/>
      <name val="Segoe UI"/>
    </font>
    <font>
      <b/>
      <color rgb="475569"/>
      <sz val="8"/>
      <name val="Segoe UI"/>
    </font>
    <font>
      <color rgb="1E293B"/>
      <sz val="8"/>
      <name val="Segoe UI"/>
    </font>
    <font>
      <color rgb="1E293B"/>
      <sz val="9"/>
      <name val="Segoe UI"/>
    </font>
    <font>
      <color rgb="334155"/>
      <sz val="9"/>
      <name val="Segoe UI"/>
    </font>
    <font>
      <color rgb="334155"/>
      <sz val="8"/>
      <name val="Segoe UI"/>
    </font>
    <font>
      <b/>
      <color rgb="FFFFFF"/>
      <sz val="15"/>
      <name val="Segoe UI"/>
    </font>
    <font>
      <i/>
      <color rgb="475569"/>
      <sz val="10"/>
      <name val="Segoe UI"/>
    </font>
    <font>
      <i/>
      <color rgb="0F172A"/>
      <sz val="9"/>
      <name val="Segoe UI"/>
    </font>
    <font>
      <b/>
      <color rgb="FFFFFF"/>
      <sz val="10"/>
      <name val="Segoe UI"/>
    </font>
    <font>
      <b/>
      <color rgb="FFFFFF"/>
      <sz val="11"/>
      <name val="Segoe UI"/>
    </font>
    <font>
      <b/>
      <color rgb="2563E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2563EB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60A5FA"/>
      </patternFill>
    </fill>
    <fill>
      <patternFill patternType="solid">
        <fgColor rgb="FFFFFF"/>
      </patternFill>
    </fill>
    <fill>
      <patternFill patternType="solid">
        <fgColor rgb="F59E0B"/>
      </patternFill>
    </fill>
    <fill>
      <patternFill patternType="solid">
        <fgColor rgb="EF4444"/>
      </patternFill>
    </fill>
    <fill>
      <patternFill patternType="solid">
        <fgColor rgb="10B981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medium">
        <color rgb="94A3B8"/>
      </top>
      <bottom style="medium">
        <color rgb="94A3B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indent="1"/>
    </xf>
    <xf numFmtId="164" fontId="6" fillId="2" borderId="1" xfId="0" applyNumberFormat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9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indent="2"/>
    </xf>
    <xf numFmtId="0" fontId="10" fillId="7" borderId="1" xfId="0" applyFont="1" applyFill="1" applyBorder="1" applyAlignment="1">
      <alignment horizontal="left" vertical="center" indent="1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9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7" borderId="1" xfId="0" applyFill="1" applyBorder="1"/>
    <xf numFmtId="0" fontId="9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indent="2"/>
    </xf>
    <xf numFmtId="0" fontId="10" fillId="10" borderId="1" xfId="0" applyFont="1" applyFill="1" applyBorder="1" applyAlignment="1">
      <alignment horizontal="left" vertical="center" indent="1"/>
    </xf>
    <xf numFmtId="0" fontId="10" fillId="10" borderId="1" xfId="0" applyFont="1" applyFill="1" applyBorder="1" applyAlignment="1">
      <alignment horizontal="center" vertical="center"/>
    </xf>
    <xf numFmtId="164" fontId="10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2" fillId="0" borderId="0" xfId="0" applyFont="1"/>
    <xf numFmtId="0" fontId="11" fillId="0" borderId="0" xfId="0" applyFont="1" applyAlignment="1">
      <alignment vertical="center" indent="1"/>
    </xf>
    <xf numFmtId="0" fontId="12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indent="1"/>
    </xf>
    <xf numFmtId="0" fontId="4" fillId="10" borderId="1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 indent="1"/>
    </xf>
    <xf numFmtId="165" fontId="15" fillId="2" borderId="1" xfId="0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0" fontId="16" fillId="5" borderId="0" xfId="0" applyFont="1" applyFill="1" applyAlignment="1">
      <alignment horizontal="left" vertical="center" indent="1"/>
    </xf>
    <xf numFmtId="0" fontId="17" fillId="1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workbookViewId="0"/>
  </sheetViews>
  <sheetFormatPr defaultRowHeight="15" outlineLevelRow="0" outlineLevelCol="0" x14ac:dyDescent="55"/>
  <cols>
    <col min="2" max="2" width="8" customWidth="1"/>
    <col min="3" max="3" width="42" customWidth="1"/>
    <col min="4" max="4" width="22" customWidth="1"/>
    <col min="5" max="6" width="13" customWidth="1"/>
    <col min="7" max="7" width="10" customWidth="1"/>
    <col min="8" max="9" width="14" customWidth="1"/>
    <col min="10" max="30" width="5.4" customWidth="1"/>
  </cols>
  <sheetData>
    <row r="2" ht="42" customHeight="1" spans="2:3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4" ht="22" customHeight="1" spans="2:18" x14ac:dyDescent="0.25">
      <c r="B4" s="2" t="s">
        <v>1</v>
      </c>
      <c r="C4" s="2"/>
      <c r="D4" s="2"/>
      <c r="E4" s="3" t="s">
        <v>2</v>
      </c>
      <c r="F4" s="3"/>
      <c r="G4" s="3"/>
      <c r="H4" s="3"/>
      <c r="I4" s="2" t="s">
        <v>3</v>
      </c>
      <c r="J4" s="2"/>
      <c r="K4" s="2"/>
      <c r="L4" s="3" t="s">
        <v>4</v>
      </c>
      <c r="M4" s="3"/>
      <c r="N4" s="3"/>
      <c r="O4" s="3"/>
      <c r="P4" s="3"/>
      <c r="Q4" s="3"/>
      <c r="R4" s="3"/>
    </row>
    <row r="5" ht="22" customHeight="1" spans="2:18" x14ac:dyDescent="0.25">
      <c r="B5" s="2" t="s">
        <v>5</v>
      </c>
      <c r="C5" s="2"/>
      <c r="D5" s="2"/>
      <c r="E5" s="3" t="s">
        <v>6</v>
      </c>
      <c r="F5" s="3"/>
      <c r="G5" s="3"/>
      <c r="H5" s="3"/>
      <c r="I5" s="2" t="s">
        <v>7</v>
      </c>
      <c r="J5" s="2"/>
      <c r="K5" s="2"/>
      <c r="L5" s="4" t="s">
        <v>8</v>
      </c>
      <c r="M5" s="4"/>
      <c r="N5" s="4"/>
      <c r="O5" s="4"/>
      <c r="P5" s="4"/>
      <c r="Q5" s="4"/>
      <c r="R5" s="4"/>
    </row>
    <row r="6" ht="22" customHeight="1" spans="2:18" x14ac:dyDescent="0.25">
      <c r="B6" s="2" t="s">
        <v>9</v>
      </c>
      <c r="C6" s="2"/>
      <c r="D6" s="2"/>
      <c r="E6" s="4" t="s">
        <v>10</v>
      </c>
      <c r="F6" s="4"/>
      <c r="G6" s="4"/>
      <c r="H6" s="4"/>
      <c r="I6" s="2" t="s">
        <v>11</v>
      </c>
      <c r="J6" s="2"/>
      <c r="K6" s="2"/>
      <c r="L6" s="4" t="s">
        <v>12</v>
      </c>
      <c r="M6" s="4"/>
      <c r="N6" s="4"/>
      <c r="O6" s="4"/>
      <c r="P6" s="4"/>
      <c r="Q6" s="4"/>
      <c r="R6" s="4"/>
    </row>
    <row r="7" ht="22" customHeight="1" spans="2:18" x14ac:dyDescent="0.25">
      <c r="B7" s="2" t="s">
        <v>13</v>
      </c>
      <c r="C7" s="2"/>
      <c r="D7" s="2"/>
      <c r="E7" s="4" t="s">
        <v>14</v>
      </c>
      <c r="F7" s="4"/>
      <c r="G7" s="4"/>
      <c r="H7" s="4"/>
      <c r="I7" s="2" t="s">
        <v>15</v>
      </c>
      <c r="J7" s="2"/>
      <c r="K7" s="2"/>
      <c r="L7" s="4" t="s">
        <v>16</v>
      </c>
      <c r="M7" s="4"/>
      <c r="N7" s="4"/>
      <c r="O7" s="4"/>
      <c r="P7" s="4"/>
      <c r="Q7" s="4"/>
      <c r="R7" s="4"/>
    </row>
    <row r="8" ht="22" customHeight="1" spans="2:18" x14ac:dyDescent="0.25">
      <c r="B8" s="2" t="s">
        <v>17</v>
      </c>
      <c r="C8" s="2"/>
      <c r="D8" s="2"/>
      <c r="E8" s="4" t="s">
        <v>18</v>
      </c>
      <c r="F8" s="4"/>
      <c r="G8" s="4"/>
      <c r="H8" s="4"/>
      <c r="I8" s="2" t="s">
        <v>19</v>
      </c>
      <c r="J8" s="2"/>
      <c r="K8" s="2"/>
      <c r="L8" s="5" t="s">
        <v>20</v>
      </c>
      <c r="M8" s="5"/>
      <c r="N8" s="5"/>
      <c r="O8" s="5"/>
      <c r="P8" s="5"/>
      <c r="Q8" s="5"/>
      <c r="R8" s="5"/>
    </row>
    <row r="10" ht="24" customHeight="1" spans="2:30" x14ac:dyDescent="0.25">
      <c r="B10" s="6" t="s">
        <v>21</v>
      </c>
      <c r="C10" s="6" t="s">
        <v>22</v>
      </c>
      <c r="D10" s="6" t="s">
        <v>23</v>
      </c>
      <c r="E10" s="6" t="s">
        <v>24</v>
      </c>
      <c r="F10" s="6" t="s">
        <v>25</v>
      </c>
      <c r="G10" s="6" t="s">
        <v>26</v>
      </c>
      <c r="H10" s="6" t="s">
        <v>27</v>
      </c>
      <c r="I10" s="6" t="s">
        <v>28</v>
      </c>
      <c r="J10" s="7" t="s">
        <v>29</v>
      </c>
      <c r="K10" s="7"/>
      <c r="L10" s="7"/>
      <c r="M10" s="7"/>
      <c r="N10" s="7"/>
      <c r="O10" s="7"/>
      <c r="P10" s="7"/>
      <c r="Q10" s="7" t="s">
        <v>30</v>
      </c>
      <c r="R10" s="7"/>
      <c r="S10" s="7"/>
      <c r="T10" s="7"/>
      <c r="U10" s="7"/>
      <c r="V10" s="7"/>
      <c r="W10" s="7"/>
      <c r="X10" s="7" t="s">
        <v>31</v>
      </c>
      <c r="Y10" s="7"/>
      <c r="Z10" s="7"/>
      <c r="AA10" s="7"/>
      <c r="AB10" s="7"/>
      <c r="AC10" s="7"/>
      <c r="AD10" s="7"/>
    </row>
    <row r="11" ht="20" customHeight="1" spans="2:30" x14ac:dyDescent="0.25">
      <c r="B11" s="6"/>
      <c r="C11" s="6"/>
      <c r="D11" s="6"/>
      <c r="E11" s="6"/>
      <c r="F11" s="6"/>
      <c r="G11" s="6"/>
      <c r="H11" s="6"/>
      <c r="I11" s="6"/>
      <c r="J11" s="8" t="s">
        <v>32</v>
      </c>
      <c r="K11" s="8" t="s">
        <v>33</v>
      </c>
      <c r="L11" s="8" t="s">
        <v>34</v>
      </c>
      <c r="M11" s="8" t="s">
        <v>35</v>
      </c>
      <c r="N11" s="8" t="s">
        <v>36</v>
      </c>
      <c r="O11" s="8" t="s">
        <v>37</v>
      </c>
      <c r="P11" s="8" t="s">
        <v>38</v>
      </c>
      <c r="Q11" s="8" t="s">
        <v>32</v>
      </c>
      <c r="R11" s="8" t="s">
        <v>33</v>
      </c>
      <c r="S11" s="8" t="s">
        <v>34</v>
      </c>
      <c r="T11" s="8" t="s">
        <v>35</v>
      </c>
      <c r="U11" s="8" t="s">
        <v>36</v>
      </c>
      <c r="V11" s="8" t="s">
        <v>37</v>
      </c>
      <c r="W11" s="8" t="s">
        <v>38</v>
      </c>
      <c r="X11" s="8" t="s">
        <v>32</v>
      </c>
      <c r="Y11" s="8" t="s">
        <v>33</v>
      </c>
      <c r="Z11" s="8" t="s">
        <v>34</v>
      </c>
      <c r="AA11" s="8" t="s">
        <v>35</v>
      </c>
      <c r="AB11" s="8" t="s">
        <v>36</v>
      </c>
      <c r="AC11" s="8" t="s">
        <v>37</v>
      </c>
      <c r="AD11" s="8" t="s">
        <v>38</v>
      </c>
    </row>
    <row r="12" ht="22" customHeight="1" spans="2:30" x14ac:dyDescent="0.25">
      <c r="B12" s="6"/>
      <c r="C12" s="6"/>
      <c r="D12" s="6"/>
      <c r="E12" s="6"/>
      <c r="F12" s="6"/>
      <c r="G12" s="6"/>
      <c r="H12" s="6"/>
      <c r="I12" s="6"/>
      <c r="J12" s="9" t="s">
        <v>39</v>
      </c>
      <c r="K12" s="9" t="s">
        <v>40</v>
      </c>
      <c r="L12" s="9" t="s">
        <v>41</v>
      </c>
      <c r="M12" s="9" t="s">
        <v>42</v>
      </c>
      <c r="N12" s="9" t="s">
        <v>43</v>
      </c>
      <c r="O12" s="9" t="s">
        <v>44</v>
      </c>
      <c r="P12" s="9" t="s">
        <v>45</v>
      </c>
      <c r="Q12" s="9" t="s">
        <v>46</v>
      </c>
      <c r="R12" s="9" t="s">
        <v>47</v>
      </c>
      <c r="S12" s="9" t="s">
        <v>48</v>
      </c>
      <c r="T12" s="9" t="s">
        <v>49</v>
      </c>
      <c r="U12" s="9" t="s">
        <v>50</v>
      </c>
      <c r="V12" s="9" t="s">
        <v>51</v>
      </c>
      <c r="W12" s="9" t="s">
        <v>52</v>
      </c>
      <c r="X12" s="9" t="s">
        <v>53</v>
      </c>
      <c r="Y12" s="9" t="s">
        <v>54</v>
      </c>
      <c r="Z12" s="9" t="s">
        <v>55</v>
      </c>
      <c r="AA12" s="9" t="s">
        <v>56</v>
      </c>
      <c r="AB12" s="9" t="s">
        <v>57</v>
      </c>
      <c r="AC12" s="9" t="s">
        <v>58</v>
      </c>
      <c r="AD12" s="9" t="s">
        <v>59</v>
      </c>
    </row>
    <row r="13" ht="24" customHeight="1" spans="2:30" x14ac:dyDescent="0.25">
      <c r="B13" s="10" t="s">
        <v>60</v>
      </c>
      <c r="C13" s="11" t="s">
        <v>61</v>
      </c>
      <c r="D13" s="11" t="s">
        <v>62</v>
      </c>
      <c r="E13" s="10" t="s">
        <v>63</v>
      </c>
      <c r="F13" s="10" t="s">
        <v>64</v>
      </c>
      <c r="G13" s="12">
        <v>7</v>
      </c>
      <c r="H13" s="13">
        <v>1</v>
      </c>
      <c r="I13" s="10" t="s">
        <v>65</v>
      </c>
      <c r="J13" s="14"/>
      <c r="K13" s="14"/>
      <c r="L13" s="14"/>
      <c r="M13" s="14"/>
      <c r="N13" s="14"/>
      <c r="O13" s="14"/>
      <c r="P13" s="14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20" customHeight="1" spans="2:30" x14ac:dyDescent="0.25">
      <c r="B14" s="16" t="s">
        <v>66</v>
      </c>
      <c r="C14" s="17" t="s">
        <v>67</v>
      </c>
      <c r="D14" s="18" t="s">
        <v>68</v>
      </c>
      <c r="E14" s="19" t="s">
        <v>63</v>
      </c>
      <c r="F14" s="19" t="s">
        <v>69</v>
      </c>
      <c r="G14" s="20">
        <v>2</v>
      </c>
      <c r="H14" s="21">
        <v>1</v>
      </c>
      <c r="I14" s="22" t="s">
        <v>65</v>
      </c>
      <c r="J14" s="23"/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ht="20" customHeight="1" spans="2:30" x14ac:dyDescent="0.25">
      <c r="B15" s="25" t="s">
        <v>70</v>
      </c>
      <c r="C15" s="26" t="s">
        <v>71</v>
      </c>
      <c r="D15" s="27" t="s">
        <v>72</v>
      </c>
      <c r="E15" s="28" t="s">
        <v>69</v>
      </c>
      <c r="F15" s="28" t="s">
        <v>69</v>
      </c>
      <c r="G15" s="29">
        <v>1</v>
      </c>
      <c r="H15" s="21">
        <v>1</v>
      </c>
      <c r="I15" s="22" t="s">
        <v>65</v>
      </c>
      <c r="J15" s="30"/>
      <c r="K15" s="31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ht="20" customHeight="1" spans="2:30" x14ac:dyDescent="0.25">
      <c r="B16" s="16" t="s">
        <v>73</v>
      </c>
      <c r="C16" s="17" t="s">
        <v>74</v>
      </c>
      <c r="D16" s="18" t="s">
        <v>75</v>
      </c>
      <c r="E16" s="19" t="s">
        <v>76</v>
      </c>
      <c r="F16" s="19" t="s">
        <v>77</v>
      </c>
      <c r="G16" s="20">
        <v>3</v>
      </c>
      <c r="H16" s="21">
        <v>1</v>
      </c>
      <c r="I16" s="22" t="s">
        <v>65</v>
      </c>
      <c r="J16" s="24"/>
      <c r="K16" s="24"/>
      <c r="L16" s="23"/>
      <c r="M16" s="23"/>
      <c r="N16" s="23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ht="20" customHeight="1" spans="2:30" x14ac:dyDescent="0.25">
      <c r="B17" s="25" t="s">
        <v>78</v>
      </c>
      <c r="C17" s="26" t="s">
        <v>79</v>
      </c>
      <c r="D17" s="27" t="s">
        <v>68</v>
      </c>
      <c r="E17" s="28" t="s">
        <v>80</v>
      </c>
      <c r="F17" s="28" t="s">
        <v>80</v>
      </c>
      <c r="G17" s="29">
        <v>1</v>
      </c>
      <c r="H17" s="21">
        <v>1</v>
      </c>
      <c r="I17" s="22" t="s">
        <v>65</v>
      </c>
      <c r="J17" s="30"/>
      <c r="K17" s="30"/>
      <c r="L17" s="30"/>
      <c r="M17" s="30"/>
      <c r="N17" s="30"/>
      <c r="O17" s="23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ht="24" customHeight="1" spans="2:30" x14ac:dyDescent="0.25">
      <c r="B18" s="10" t="s">
        <v>81</v>
      </c>
      <c r="C18" s="11" t="s">
        <v>82</v>
      </c>
      <c r="D18" s="11" t="s">
        <v>83</v>
      </c>
      <c r="E18" s="10" t="s">
        <v>84</v>
      </c>
      <c r="F18" s="10" t="s">
        <v>85</v>
      </c>
      <c r="G18" s="12">
        <v>7</v>
      </c>
      <c r="H18" s="13">
        <v>1</v>
      </c>
      <c r="I18" s="10" t="s">
        <v>65</v>
      </c>
      <c r="J18" s="15"/>
      <c r="K18" s="15"/>
      <c r="L18" s="15"/>
      <c r="M18" s="15"/>
      <c r="N18" s="15"/>
      <c r="O18" s="15"/>
      <c r="P18" s="15"/>
      <c r="Q18" s="14"/>
      <c r="R18" s="14"/>
      <c r="S18" s="14"/>
      <c r="T18" s="14"/>
      <c r="U18" s="14"/>
      <c r="V18" s="14"/>
      <c r="W18" s="14"/>
      <c r="X18" s="15"/>
      <c r="Y18" s="15"/>
      <c r="Z18" s="15"/>
      <c r="AA18" s="15"/>
      <c r="AB18" s="15"/>
      <c r="AC18" s="15"/>
      <c r="AD18" s="15"/>
    </row>
    <row r="19" ht="20" customHeight="1" spans="2:30" x14ac:dyDescent="0.25">
      <c r="B19" s="25" t="s">
        <v>86</v>
      </c>
      <c r="C19" s="26" t="s">
        <v>87</v>
      </c>
      <c r="D19" s="27" t="s">
        <v>75</v>
      </c>
      <c r="E19" s="28" t="s">
        <v>84</v>
      </c>
      <c r="F19" s="28" t="s">
        <v>88</v>
      </c>
      <c r="G19" s="29">
        <v>4</v>
      </c>
      <c r="H19" s="21">
        <v>1</v>
      </c>
      <c r="I19" s="22" t="s">
        <v>65</v>
      </c>
      <c r="J19" s="30"/>
      <c r="K19" s="30"/>
      <c r="L19" s="30"/>
      <c r="M19" s="30"/>
      <c r="N19" s="30"/>
      <c r="O19" s="30"/>
      <c r="P19" s="30"/>
      <c r="Q19" s="23"/>
      <c r="R19" s="23"/>
      <c r="S19" s="23"/>
      <c r="T19" s="23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ht="20" customHeight="1" spans="2:30" x14ac:dyDescent="0.25">
      <c r="B20" s="16" t="s">
        <v>89</v>
      </c>
      <c r="C20" s="17" t="s">
        <v>90</v>
      </c>
      <c r="D20" s="18" t="s">
        <v>16</v>
      </c>
      <c r="E20" s="19" t="s">
        <v>84</v>
      </c>
      <c r="F20" s="19" t="s">
        <v>88</v>
      </c>
      <c r="G20" s="20">
        <v>4</v>
      </c>
      <c r="H20" s="21">
        <v>1</v>
      </c>
      <c r="I20" s="22" t="s">
        <v>65</v>
      </c>
      <c r="J20" s="24"/>
      <c r="K20" s="24"/>
      <c r="L20" s="24"/>
      <c r="M20" s="24"/>
      <c r="N20" s="24"/>
      <c r="O20" s="24"/>
      <c r="P20" s="24"/>
      <c r="Q20" s="32"/>
      <c r="R20" s="32"/>
      <c r="S20" s="32"/>
      <c r="T20" s="32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ht="20" customHeight="1" spans="2:30" x14ac:dyDescent="0.25">
      <c r="B21" s="25" t="s">
        <v>91</v>
      </c>
      <c r="C21" s="26" t="s">
        <v>92</v>
      </c>
      <c r="D21" s="27" t="s">
        <v>68</v>
      </c>
      <c r="E21" s="28" t="s">
        <v>93</v>
      </c>
      <c r="F21" s="28" t="s">
        <v>94</v>
      </c>
      <c r="G21" s="29">
        <v>2</v>
      </c>
      <c r="H21" s="21">
        <v>1</v>
      </c>
      <c r="I21" s="22" t="s">
        <v>65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23"/>
      <c r="V21" s="23"/>
      <c r="W21" s="30"/>
      <c r="X21" s="30"/>
      <c r="Y21" s="30"/>
      <c r="Z21" s="30"/>
      <c r="AA21" s="30"/>
      <c r="AB21" s="30"/>
      <c r="AC21" s="30"/>
      <c r="AD21" s="30"/>
    </row>
    <row r="22" ht="20" customHeight="1" spans="2:30" x14ac:dyDescent="0.25">
      <c r="B22" s="16" t="s">
        <v>95</v>
      </c>
      <c r="C22" s="17" t="s">
        <v>96</v>
      </c>
      <c r="D22" s="18" t="s">
        <v>72</v>
      </c>
      <c r="E22" s="19" t="s">
        <v>85</v>
      </c>
      <c r="F22" s="19" t="s">
        <v>85</v>
      </c>
      <c r="G22" s="20">
        <v>1</v>
      </c>
      <c r="H22" s="21">
        <v>1</v>
      </c>
      <c r="I22" s="22" t="s">
        <v>65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31"/>
      <c r="X22" s="24"/>
      <c r="Y22" s="24"/>
      <c r="Z22" s="24"/>
      <c r="AA22" s="24"/>
      <c r="AB22" s="24"/>
      <c r="AC22" s="24"/>
      <c r="AD22" s="24"/>
    </row>
    <row r="23" ht="24" customHeight="1" spans="2:30" x14ac:dyDescent="0.25">
      <c r="B23" s="10" t="s">
        <v>97</v>
      </c>
      <c r="C23" s="11" t="s">
        <v>98</v>
      </c>
      <c r="D23" s="11" t="s">
        <v>62</v>
      </c>
      <c r="E23" s="10" t="s">
        <v>99</v>
      </c>
      <c r="F23" s="10" t="s">
        <v>100</v>
      </c>
      <c r="G23" s="12">
        <v>7</v>
      </c>
      <c r="H23" s="13">
        <v>1</v>
      </c>
      <c r="I23" s="10" t="s">
        <v>65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4"/>
      <c r="Y23" s="14"/>
      <c r="Z23" s="14"/>
      <c r="AA23" s="14"/>
      <c r="AB23" s="14"/>
      <c r="AC23" s="14"/>
      <c r="AD23" s="14"/>
    </row>
    <row r="24" ht="20" customHeight="1" spans="2:30" x14ac:dyDescent="0.25">
      <c r="B24" s="16" t="s">
        <v>101</v>
      </c>
      <c r="C24" s="17" t="s">
        <v>102</v>
      </c>
      <c r="D24" s="18" t="s">
        <v>72</v>
      </c>
      <c r="E24" s="19" t="s">
        <v>99</v>
      </c>
      <c r="F24" s="19" t="s">
        <v>103</v>
      </c>
      <c r="G24" s="20">
        <v>3</v>
      </c>
      <c r="H24" s="21">
        <v>1</v>
      </c>
      <c r="I24" s="22" t="s">
        <v>65</v>
      </c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31"/>
      <c r="Y24" s="31"/>
      <c r="Z24" s="31"/>
      <c r="AA24" s="24"/>
      <c r="AB24" s="24"/>
      <c r="AC24" s="24"/>
      <c r="AD24" s="24"/>
    </row>
    <row r="25" ht="20" customHeight="1" spans="2:30" x14ac:dyDescent="0.25">
      <c r="B25" s="25" t="s">
        <v>104</v>
      </c>
      <c r="C25" s="26" t="s">
        <v>105</v>
      </c>
      <c r="D25" s="27" t="s">
        <v>68</v>
      </c>
      <c r="E25" s="28" t="s">
        <v>106</v>
      </c>
      <c r="F25" s="28" t="s">
        <v>107</v>
      </c>
      <c r="G25" s="29">
        <v>3</v>
      </c>
      <c r="H25" s="21">
        <v>1</v>
      </c>
      <c r="I25" s="22" t="s">
        <v>65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23"/>
      <c r="Z25" s="23"/>
      <c r="AA25" s="23"/>
      <c r="AB25" s="30"/>
      <c r="AC25" s="30"/>
      <c r="AD25" s="30"/>
    </row>
    <row r="26" ht="20" customHeight="1" spans="2:30" x14ac:dyDescent="0.25">
      <c r="B26" s="16" t="s">
        <v>108</v>
      </c>
      <c r="C26" s="17" t="s">
        <v>109</v>
      </c>
      <c r="D26" s="18" t="s">
        <v>110</v>
      </c>
      <c r="E26" s="19" t="s">
        <v>107</v>
      </c>
      <c r="F26" s="19" t="s">
        <v>107</v>
      </c>
      <c r="G26" s="20">
        <v>1</v>
      </c>
      <c r="H26" s="21">
        <v>1</v>
      </c>
      <c r="I26" s="22" t="s">
        <v>65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3"/>
      <c r="AB26" s="24"/>
      <c r="AC26" s="24"/>
      <c r="AD26" s="24"/>
    </row>
    <row r="27" ht="20" customHeight="1" spans="2:30" x14ac:dyDescent="0.25">
      <c r="B27" s="25" t="s">
        <v>111</v>
      </c>
      <c r="C27" s="26" t="s">
        <v>112</v>
      </c>
      <c r="D27" s="27" t="s">
        <v>68</v>
      </c>
      <c r="E27" s="28" t="s">
        <v>113</v>
      </c>
      <c r="F27" s="28" t="s">
        <v>113</v>
      </c>
      <c r="G27" s="29">
        <v>1</v>
      </c>
      <c r="H27" s="21">
        <v>1</v>
      </c>
      <c r="I27" s="22" t="s">
        <v>65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23"/>
      <c r="AC27" s="30"/>
      <c r="AD27" s="30"/>
    </row>
    <row r="28" ht="20" customHeight="1" spans="2:30" x14ac:dyDescent="0.25">
      <c r="B28" s="16" t="s">
        <v>114</v>
      </c>
      <c r="C28" s="17" t="s">
        <v>115</v>
      </c>
      <c r="D28" s="18" t="s">
        <v>83</v>
      </c>
      <c r="E28" s="19" t="s">
        <v>100</v>
      </c>
      <c r="F28" s="19" t="s">
        <v>100</v>
      </c>
      <c r="G28" s="20">
        <v>1</v>
      </c>
      <c r="H28" s="21">
        <v>1</v>
      </c>
      <c r="I28" s="22" t="s">
        <v>65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33"/>
    </row>
    <row r="31" spans="2:8" x14ac:dyDescent="0.25">
      <c r="B31" s="34" t="s">
        <v>116</v>
      </c>
      <c r="C31" s="34"/>
      <c r="D31" s="34"/>
      <c r="E31" s="34"/>
      <c r="F31" s="34"/>
      <c r="G31" s="34"/>
      <c r="H31" s="34"/>
    </row>
    <row r="32" ht="18" customHeight="1" spans="2:14" x14ac:dyDescent="0.25">
      <c r="B32" s="14"/>
      <c r="C32" s="35" t="s">
        <v>117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ht="18" customHeight="1" spans="2:14" x14ac:dyDescent="0.25">
      <c r="B33" s="23"/>
      <c r="C33" s="35" t="s">
        <v>118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ht="18" customHeight="1" spans="2:14" x14ac:dyDescent="0.25">
      <c r="B34" s="31"/>
      <c r="C34" s="35" t="s">
        <v>119</v>
      </c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ht="18" customHeight="1" spans="2:14" x14ac:dyDescent="0.25">
      <c r="B35" s="32"/>
      <c r="C35" s="35" t="s">
        <v>120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ht="18" customHeight="1" spans="2:14" x14ac:dyDescent="0.25">
      <c r="B36" s="33"/>
      <c r="C36" s="35" t="s">
        <v>121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</sheetData>
  <mergeCells count="38">
    <mergeCell ref="B2:AD2"/>
    <mergeCell ref="B4:D4"/>
    <mergeCell ref="E4:H4"/>
    <mergeCell ref="I4:K4"/>
    <mergeCell ref="L4:R4"/>
    <mergeCell ref="B5:D5"/>
    <mergeCell ref="E5:H5"/>
    <mergeCell ref="I5:K5"/>
    <mergeCell ref="L5:R5"/>
    <mergeCell ref="B6:D6"/>
    <mergeCell ref="E6:H6"/>
    <mergeCell ref="I6:K6"/>
    <mergeCell ref="L6:R6"/>
    <mergeCell ref="B7:D7"/>
    <mergeCell ref="E7:H7"/>
    <mergeCell ref="I7:K7"/>
    <mergeCell ref="L7:R7"/>
    <mergeCell ref="B8:D8"/>
    <mergeCell ref="E8:H8"/>
    <mergeCell ref="I8:K8"/>
    <mergeCell ref="L8:R8"/>
    <mergeCell ref="J10:P10"/>
    <mergeCell ref="Q10:W10"/>
    <mergeCell ref="X10:AD10"/>
    <mergeCell ref="B10:B12"/>
    <mergeCell ref="C10:C12"/>
    <mergeCell ref="D10:D12"/>
    <mergeCell ref="E10:E12"/>
    <mergeCell ref="F10:F12"/>
    <mergeCell ref="G10:G12"/>
    <mergeCell ref="H10:H12"/>
    <mergeCell ref="I10:I12"/>
    <mergeCell ref="B31:H31"/>
    <mergeCell ref="C32:N32"/>
    <mergeCell ref="C33:N33"/>
    <mergeCell ref="C34:N34"/>
    <mergeCell ref="C35:N35"/>
    <mergeCell ref="C36:N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9"/>
  <sheetViews>
    <sheetView workbookViewId="0"/>
  </sheetViews>
  <sheetFormatPr defaultRowHeight="15" outlineLevelRow="0" outlineLevelCol="0" x14ac:dyDescent="55"/>
  <cols>
    <col min="2" max="2" width="6" customWidth="1"/>
    <col min="3" max="3" width="24" customWidth="1"/>
    <col min="4" max="4" width="14" customWidth="1"/>
    <col min="5" max="5" width="22" customWidth="1"/>
    <col min="6" max="6" width="44" customWidth="1"/>
    <col min="7" max="8" width="14" customWidth="1"/>
    <col min="9" max="9" width="16" customWidth="1"/>
    <col min="10" max="10" width="12" customWidth="1"/>
    <col min="11" max="11" width="18" customWidth="1"/>
  </cols>
  <sheetData>
    <row r="2" ht="38" customHeight="1" spans="2:11" x14ac:dyDescent="0.25">
      <c r="B2" s="36" t="s">
        <v>122</v>
      </c>
      <c r="C2" s="36"/>
      <c r="D2" s="36"/>
      <c r="E2" s="36"/>
      <c r="F2" s="36"/>
      <c r="G2" s="36"/>
      <c r="H2" s="36"/>
      <c r="I2" s="36"/>
      <c r="J2" s="36"/>
      <c r="K2" s="36"/>
    </row>
    <row r="3" ht="22" customHeight="1" spans="2:11" x14ac:dyDescent="0.25">
      <c r="B3" s="37" t="s">
        <v>123</v>
      </c>
      <c r="C3" s="37"/>
      <c r="D3" s="37"/>
      <c r="E3" s="37"/>
      <c r="F3" s="37"/>
      <c r="G3" s="37"/>
      <c r="H3" s="37"/>
      <c r="I3" s="37"/>
      <c r="J3" s="37"/>
      <c r="K3" s="37"/>
    </row>
    <row r="5" ht="28" customHeight="1" spans="2:11" x14ac:dyDescent="0.25"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130</v>
      </c>
      <c r="I5" s="6" t="s">
        <v>131</v>
      </c>
      <c r="J5" s="6" t="s">
        <v>132</v>
      </c>
      <c r="K5" s="6" t="s">
        <v>133</v>
      </c>
    </row>
    <row r="6" ht="36" customHeight="1" spans="2:11" x14ac:dyDescent="0.25">
      <c r="B6" s="38">
        <v>1</v>
      </c>
      <c r="C6" s="39" t="s">
        <v>68</v>
      </c>
      <c r="D6" s="38" t="s">
        <v>134</v>
      </c>
      <c r="E6" s="40" t="s">
        <v>135</v>
      </c>
      <c r="F6" s="41" t="s">
        <v>136</v>
      </c>
      <c r="G6" s="38" t="s">
        <v>137</v>
      </c>
      <c r="H6" s="42">
        <v>0.2</v>
      </c>
      <c r="I6" s="42">
        <v>100</v>
      </c>
      <c r="J6" s="42" t="s">
        <v>138</v>
      </c>
      <c r="K6" s="43" t="s">
        <v>139</v>
      </c>
    </row>
    <row r="7" ht="36" customHeight="1" spans="2:11" x14ac:dyDescent="0.25">
      <c r="B7" s="44">
        <v>2</v>
      </c>
      <c r="C7" s="45" t="s">
        <v>16</v>
      </c>
      <c r="D7" s="44" t="s">
        <v>140</v>
      </c>
      <c r="E7" s="46" t="s">
        <v>141</v>
      </c>
      <c r="F7" s="47" t="s">
        <v>142</v>
      </c>
      <c r="G7" s="44" t="s">
        <v>143</v>
      </c>
      <c r="H7" s="48">
        <v>0.2</v>
      </c>
      <c r="I7" s="48">
        <v>98</v>
      </c>
      <c r="J7" s="48" t="s">
        <v>144</v>
      </c>
      <c r="K7" s="49" t="s">
        <v>139</v>
      </c>
    </row>
    <row r="8" ht="36" customHeight="1" spans="2:11" x14ac:dyDescent="0.25">
      <c r="B8" s="38">
        <v>3</v>
      </c>
      <c r="C8" s="39" t="s">
        <v>145</v>
      </c>
      <c r="D8" s="38" t="s">
        <v>140</v>
      </c>
      <c r="E8" s="40" t="s">
        <v>146</v>
      </c>
      <c r="F8" s="41" t="s">
        <v>147</v>
      </c>
      <c r="G8" s="38" t="s">
        <v>148</v>
      </c>
      <c r="H8" s="42">
        <v>0.2</v>
      </c>
      <c r="I8" s="42">
        <v>98</v>
      </c>
      <c r="J8" s="42" t="s">
        <v>144</v>
      </c>
      <c r="K8" s="43" t="s">
        <v>139</v>
      </c>
    </row>
    <row r="9" ht="36" customHeight="1" spans="2:11" x14ac:dyDescent="0.25">
      <c r="B9" s="44">
        <v>4</v>
      </c>
      <c r="C9" s="45" t="s">
        <v>149</v>
      </c>
      <c r="D9" s="44" t="s">
        <v>140</v>
      </c>
      <c r="E9" s="46" t="s">
        <v>150</v>
      </c>
      <c r="F9" s="47" t="s">
        <v>151</v>
      </c>
      <c r="G9" s="44" t="s">
        <v>152</v>
      </c>
      <c r="H9" s="48">
        <v>0.2</v>
      </c>
      <c r="I9" s="48">
        <v>98</v>
      </c>
      <c r="J9" s="48" t="s">
        <v>144</v>
      </c>
      <c r="K9" s="49" t="s">
        <v>139</v>
      </c>
    </row>
    <row r="10" ht="36" customHeight="1" spans="2:11" x14ac:dyDescent="0.25">
      <c r="B10" s="38">
        <v>5</v>
      </c>
      <c r="C10" s="39" t="s">
        <v>153</v>
      </c>
      <c r="D10" s="38" t="s">
        <v>140</v>
      </c>
      <c r="E10" s="40" t="s">
        <v>150</v>
      </c>
      <c r="F10" s="41" t="s">
        <v>154</v>
      </c>
      <c r="G10" s="38" t="s">
        <v>152</v>
      </c>
      <c r="H10" s="42">
        <v>0.2</v>
      </c>
      <c r="I10" s="42">
        <v>98</v>
      </c>
      <c r="J10" s="42" t="s">
        <v>144</v>
      </c>
      <c r="K10" s="43" t="s">
        <v>139</v>
      </c>
    </row>
    <row r="11" ht="26" customHeight="1" spans="2:11" x14ac:dyDescent="0.25">
      <c r="B11" s="50" t="s">
        <v>155</v>
      </c>
      <c r="C11" s="50"/>
      <c r="D11" s="50"/>
      <c r="E11" s="50"/>
      <c r="F11" s="50"/>
      <c r="G11" s="10" t="s">
        <v>156</v>
      </c>
      <c r="H11" s="51">
        <f>SUM(H6:H10)</f>
        <v>1</v>
      </c>
      <c r="I11" s="52">
        <f>AVERAGE(I6:I10)</f>
        <v>98.4</v>
      </c>
      <c r="J11" s="10" t="s">
        <v>157</v>
      </c>
      <c r="K11" s="10"/>
    </row>
    <row r="14" ht="26" customHeight="1" spans="2:11" x14ac:dyDescent="0.25">
      <c r="B14" s="53" t="s">
        <v>158</v>
      </c>
      <c r="C14" s="53"/>
      <c r="D14" s="53"/>
      <c r="E14" s="53"/>
      <c r="F14" s="53"/>
      <c r="G14" s="53"/>
      <c r="H14" s="53"/>
      <c r="I14" s="53"/>
      <c r="J14" s="53"/>
      <c r="K14" s="53"/>
    </row>
    <row r="15" ht="22" customHeight="1" spans="2:11" x14ac:dyDescent="0.25">
      <c r="B15" s="39" t="s">
        <v>159</v>
      </c>
      <c r="C15" s="39"/>
      <c r="D15" s="39"/>
      <c r="E15" s="27" t="s">
        <v>160</v>
      </c>
      <c r="F15" s="27"/>
      <c r="G15" s="27"/>
      <c r="H15" s="27"/>
      <c r="I15" s="27"/>
      <c r="J15" s="54" t="s">
        <v>161</v>
      </c>
      <c r="K15" s="54"/>
    </row>
    <row r="16" ht="22" customHeight="1" spans="2:11" x14ac:dyDescent="0.25">
      <c r="B16" s="55" t="s">
        <v>162</v>
      </c>
      <c r="C16" s="55"/>
      <c r="D16" s="55"/>
      <c r="E16" s="56" t="s">
        <v>163</v>
      </c>
      <c r="F16" s="56"/>
      <c r="G16" s="56"/>
      <c r="H16" s="56"/>
      <c r="I16" s="56"/>
      <c r="J16" s="57" t="s">
        <v>161</v>
      </c>
      <c r="K16" s="57"/>
    </row>
    <row r="17" ht="22" customHeight="1" spans="2:11" x14ac:dyDescent="0.25">
      <c r="B17" s="39" t="s">
        <v>164</v>
      </c>
      <c r="C17" s="39"/>
      <c r="D17" s="39"/>
      <c r="E17" s="27" t="s">
        <v>165</v>
      </c>
      <c r="F17" s="27"/>
      <c r="G17" s="27"/>
      <c r="H17" s="27"/>
      <c r="I17" s="27"/>
      <c r="J17" s="54" t="s">
        <v>161</v>
      </c>
      <c r="K17" s="54"/>
    </row>
    <row r="18" ht="22" customHeight="1" spans="2:11" x14ac:dyDescent="0.25">
      <c r="B18" s="55" t="s">
        <v>166</v>
      </c>
      <c r="C18" s="55"/>
      <c r="D18" s="55"/>
      <c r="E18" s="56" t="s">
        <v>167</v>
      </c>
      <c r="F18" s="56"/>
      <c r="G18" s="56"/>
      <c r="H18" s="56"/>
      <c r="I18" s="56"/>
      <c r="J18" s="57" t="s">
        <v>161</v>
      </c>
      <c r="K18" s="57"/>
    </row>
    <row r="19" ht="22" customHeight="1" spans="2:11" x14ac:dyDescent="0.25">
      <c r="B19" s="39" t="s">
        <v>168</v>
      </c>
      <c r="C19" s="39"/>
      <c r="D19" s="39"/>
      <c r="E19" s="27" t="s">
        <v>169</v>
      </c>
      <c r="F19" s="27"/>
      <c r="G19" s="27"/>
      <c r="H19" s="27"/>
      <c r="I19" s="27"/>
      <c r="J19" s="54" t="s">
        <v>161</v>
      </c>
      <c r="K19" s="54"/>
    </row>
  </sheetData>
  <mergeCells count="20">
    <mergeCell ref="B2:K2"/>
    <mergeCell ref="B3:K3"/>
    <mergeCell ref="B11:F11"/>
    <mergeCell ref="J11:K11"/>
    <mergeCell ref="B14:K14"/>
    <mergeCell ref="B15:D15"/>
    <mergeCell ref="E15:I15"/>
    <mergeCell ref="J15:K15"/>
    <mergeCell ref="B16:D16"/>
    <mergeCell ref="E16:I16"/>
    <mergeCell ref="J16:K16"/>
    <mergeCell ref="B17:D17"/>
    <mergeCell ref="E17:I17"/>
    <mergeCell ref="J17:K17"/>
    <mergeCell ref="B18:D18"/>
    <mergeCell ref="E18:I18"/>
    <mergeCell ref="J18:K18"/>
    <mergeCell ref="B19:D19"/>
    <mergeCell ref="E19:I19"/>
    <mergeCell ref="J19:K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/>
  </sheetViews>
  <sheetFormatPr defaultRowHeight="15" outlineLevelRow="0" outlineLevelCol="0" x14ac:dyDescent="55"/>
  <cols>
    <col min="2" max="3" width="14" customWidth="1"/>
    <col min="4" max="4" width="18" customWidth="1"/>
    <col min="5" max="5" width="16" customWidth="1"/>
    <col min="6" max="7" width="36" customWidth="1"/>
    <col min="8" max="8" width="28" customWidth="1"/>
    <col min="9" max="9" width="16" customWidth="1"/>
  </cols>
  <sheetData>
    <row r="2" ht="38" customHeight="1" spans="2:9" x14ac:dyDescent="0.25">
      <c r="B2" s="36" t="s">
        <v>170</v>
      </c>
      <c r="C2" s="36"/>
      <c r="D2" s="36"/>
      <c r="E2" s="36"/>
      <c r="F2" s="36"/>
      <c r="G2" s="36"/>
      <c r="H2" s="36"/>
      <c r="I2" s="36"/>
    </row>
    <row r="4" ht="28" customHeight="1" spans="2:9" x14ac:dyDescent="0.25">
      <c r="B4" s="6" t="s">
        <v>171</v>
      </c>
      <c r="C4" s="6" t="s">
        <v>172</v>
      </c>
      <c r="D4" s="6" t="s">
        <v>173</v>
      </c>
      <c r="E4" s="6" t="s">
        <v>174</v>
      </c>
      <c r="F4" s="6" t="s">
        <v>175</v>
      </c>
      <c r="G4" s="6" t="s">
        <v>176</v>
      </c>
      <c r="H4" s="6" t="s">
        <v>177</v>
      </c>
      <c r="I4" s="6" t="s">
        <v>178</v>
      </c>
    </row>
    <row r="5" ht="68" customHeight="1" spans="2:9" x14ac:dyDescent="0.25">
      <c r="B5" s="42" t="s">
        <v>179</v>
      </c>
      <c r="C5" s="38" t="s">
        <v>69</v>
      </c>
      <c r="D5" s="38" t="s">
        <v>180</v>
      </c>
      <c r="E5" s="42" t="s">
        <v>16</v>
      </c>
      <c r="F5" s="41" t="s">
        <v>181</v>
      </c>
      <c r="G5" s="41" t="s">
        <v>182</v>
      </c>
      <c r="H5" s="40" t="s">
        <v>183</v>
      </c>
      <c r="I5" s="42" t="s">
        <v>184</v>
      </c>
    </row>
    <row r="6" ht="68" customHeight="1" spans="2:9" x14ac:dyDescent="0.25">
      <c r="B6" s="48" t="s">
        <v>185</v>
      </c>
      <c r="C6" s="44" t="s">
        <v>85</v>
      </c>
      <c r="D6" s="44" t="s">
        <v>186</v>
      </c>
      <c r="E6" s="48" t="s">
        <v>16</v>
      </c>
      <c r="F6" s="47" t="s">
        <v>187</v>
      </c>
      <c r="G6" s="47" t="s">
        <v>188</v>
      </c>
      <c r="H6" s="46" t="s">
        <v>189</v>
      </c>
      <c r="I6" s="48" t="s">
        <v>184</v>
      </c>
    </row>
    <row r="7" ht="68" customHeight="1" spans="2:9" x14ac:dyDescent="0.25">
      <c r="B7" s="42" t="s">
        <v>190</v>
      </c>
      <c r="C7" s="38" t="s">
        <v>103</v>
      </c>
      <c r="D7" s="38" t="s">
        <v>186</v>
      </c>
      <c r="E7" s="42" t="s">
        <v>16</v>
      </c>
      <c r="F7" s="41" t="s">
        <v>191</v>
      </c>
      <c r="G7" s="41" t="s">
        <v>192</v>
      </c>
      <c r="H7" s="40" t="s">
        <v>193</v>
      </c>
      <c r="I7" s="42" t="s">
        <v>184</v>
      </c>
    </row>
  </sheetData>
  <mergeCells count="1">
    <mergeCell ref="B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Biểu đồ Gantt</vt:lpstr>
      <vt:lpstr>Đánh giá thành viên &amp; Đóng góp</vt:lpstr>
      <vt:lpstr>Tổng hợp lịch họp &amp; Biên bản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Quách Phú Tài (123000609) - Test Lead</dc:creator>
  <dc:title/>
  <dc:subject/>
  <dc:description/>
  <cp:keywords/>
  <cp:category/>
  <cp:lastModifiedBy>Bùi Đặng Quốc Khánh - Thư ký nhóm</cp:lastModifiedBy>
  <dcterms:created xsi:type="dcterms:W3CDTF">2026-10-12T08:00:00Z</dcterms:created>
  <dcterms:modified xsi:type="dcterms:W3CDTF">2026-10-29T18:30:00Z</dcterms:modified>
</cp:coreProperties>
</file>